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Risk Level" sheetId="2" r:id="rId1"/>
    <sheet name="Dataset" sheetId="1" r:id="rId2"/>
  </sheets>
  <definedNames>
    <definedName name="_xlnm._FilterDatabase" localSheetId="1" hidden="1">Dataset!$A$1:$X$1</definedName>
  </definedNames>
  <calcPr calcId="144525"/>
  <pivotCaches>
    <pivotCache cacheId="4" r:id="rId3"/>
    <pivotCache cacheId="8" r:id="rId4"/>
  </pivotCaches>
</workbook>
</file>

<file path=xl/calcChain.xml><?xml version="1.0" encoding="utf-8"?>
<calcChain xmlns="http://schemas.openxmlformats.org/spreadsheetml/2006/main">
  <c r="X3" i="1" l="1"/>
  <c r="M3" i="1"/>
  <c r="Q3" i="1" s="1"/>
  <c r="M4" i="1"/>
  <c r="Q4" i="1" s="1"/>
  <c r="M5" i="1"/>
  <c r="Q5" i="1" s="1"/>
  <c r="M6" i="1"/>
  <c r="Q6" i="1" s="1"/>
  <c r="M7" i="1"/>
  <c r="Q7" i="1" s="1"/>
  <c r="M8" i="1"/>
  <c r="Q8" i="1" s="1"/>
  <c r="M9" i="1"/>
  <c r="Q9" i="1" s="1"/>
  <c r="M10" i="1"/>
  <c r="Q10" i="1" s="1"/>
  <c r="M11" i="1"/>
  <c r="Q11" i="1" s="1"/>
  <c r="M12" i="1"/>
  <c r="Q12" i="1" s="1"/>
  <c r="M13" i="1"/>
  <c r="Q13" i="1" s="1"/>
  <c r="M14" i="1"/>
  <c r="Q14" i="1" s="1"/>
  <c r="M15" i="1"/>
  <c r="Q15" i="1" s="1"/>
  <c r="M16" i="1"/>
  <c r="Q16" i="1" s="1"/>
  <c r="M17" i="1"/>
  <c r="Q17" i="1" s="1"/>
  <c r="M18" i="1"/>
  <c r="Q18" i="1" s="1"/>
  <c r="M19" i="1"/>
  <c r="Q19" i="1" s="1"/>
  <c r="M20" i="1"/>
  <c r="Q20" i="1" s="1"/>
  <c r="M21" i="1"/>
  <c r="Q21" i="1" s="1"/>
  <c r="M22" i="1"/>
  <c r="Q22" i="1" s="1"/>
  <c r="M23" i="1"/>
  <c r="Q23" i="1" s="1"/>
  <c r="M24" i="1"/>
  <c r="Q24" i="1" s="1"/>
  <c r="M25" i="1"/>
  <c r="Q25" i="1" s="1"/>
  <c r="M26" i="1"/>
  <c r="Q26" i="1" s="1"/>
  <c r="M27" i="1"/>
  <c r="Q27" i="1" s="1"/>
  <c r="M28" i="1"/>
  <c r="Q28" i="1" s="1"/>
  <c r="M29" i="1"/>
  <c r="Q29" i="1" s="1"/>
  <c r="M30" i="1"/>
  <c r="Q30" i="1" s="1"/>
  <c r="M31" i="1"/>
  <c r="Q31" i="1" s="1"/>
  <c r="M32" i="1"/>
  <c r="Q32" i="1" s="1"/>
  <c r="M33" i="1"/>
  <c r="Q33" i="1" s="1"/>
  <c r="M34" i="1"/>
  <c r="Q34" i="1" s="1"/>
  <c r="M35" i="1"/>
  <c r="Q35" i="1" s="1"/>
  <c r="M36" i="1"/>
  <c r="Q36" i="1" s="1"/>
  <c r="M37" i="1"/>
  <c r="Q37" i="1" s="1"/>
  <c r="M38" i="1"/>
  <c r="Q38" i="1" s="1"/>
  <c r="M39" i="1"/>
  <c r="Q39" i="1" s="1"/>
  <c r="M40" i="1"/>
  <c r="Q40" i="1" s="1"/>
  <c r="M41" i="1"/>
  <c r="Q41" i="1" s="1"/>
  <c r="M42" i="1"/>
  <c r="Q42" i="1" s="1"/>
  <c r="M43" i="1"/>
  <c r="Q43" i="1" s="1"/>
  <c r="M44" i="1"/>
  <c r="Q44" i="1" s="1"/>
  <c r="M45" i="1"/>
  <c r="Q45" i="1" s="1"/>
  <c r="M46" i="1"/>
  <c r="Q46" i="1" s="1"/>
  <c r="M47" i="1"/>
  <c r="Q47" i="1" s="1"/>
  <c r="M48" i="1"/>
  <c r="Q48" i="1" s="1"/>
  <c r="M49" i="1"/>
  <c r="Q49" i="1" s="1"/>
  <c r="M50" i="1"/>
  <c r="Q50" i="1" s="1"/>
  <c r="M51" i="1"/>
  <c r="Q51" i="1" s="1"/>
  <c r="M52" i="1"/>
  <c r="Q52" i="1" s="1"/>
  <c r="M53" i="1"/>
  <c r="Q53" i="1" s="1"/>
  <c r="M54" i="1"/>
  <c r="Q54" i="1" s="1"/>
  <c r="M55" i="1"/>
  <c r="Q55" i="1" s="1"/>
  <c r="M56" i="1"/>
  <c r="Q56" i="1" s="1"/>
  <c r="M57" i="1"/>
  <c r="Q57" i="1" s="1"/>
  <c r="M58" i="1"/>
  <c r="Q58" i="1" s="1"/>
  <c r="M59" i="1"/>
  <c r="Q59" i="1" s="1"/>
  <c r="M60" i="1"/>
  <c r="Q60" i="1" s="1"/>
  <c r="M61" i="1"/>
  <c r="Q61" i="1" s="1"/>
  <c r="M62" i="1"/>
  <c r="Q62" i="1" s="1"/>
  <c r="M63" i="1"/>
  <c r="Q63" i="1" s="1"/>
  <c r="M64" i="1"/>
  <c r="Q64" i="1" s="1"/>
  <c r="M65" i="1"/>
  <c r="Q65" i="1" s="1"/>
  <c r="M66" i="1"/>
  <c r="Q66" i="1" s="1"/>
  <c r="M67" i="1"/>
  <c r="Q67" i="1" s="1"/>
  <c r="M68" i="1"/>
  <c r="Q68" i="1" s="1"/>
  <c r="M69" i="1"/>
  <c r="Q69" i="1" s="1"/>
  <c r="M70" i="1"/>
  <c r="Q70" i="1" s="1"/>
  <c r="M71" i="1"/>
  <c r="Q71" i="1" s="1"/>
  <c r="M72" i="1"/>
  <c r="Q72" i="1" s="1"/>
  <c r="M73" i="1"/>
  <c r="Q73" i="1" s="1"/>
  <c r="M74" i="1"/>
  <c r="Q74" i="1" s="1"/>
  <c r="M75" i="1"/>
  <c r="Q75" i="1" s="1"/>
  <c r="M76" i="1"/>
  <c r="Q76" i="1" s="1"/>
  <c r="M77" i="1"/>
  <c r="Q77" i="1" s="1"/>
  <c r="M78" i="1"/>
  <c r="Q78" i="1" s="1"/>
  <c r="M79" i="1"/>
  <c r="Q79" i="1" s="1"/>
  <c r="M80" i="1"/>
  <c r="Q80" i="1" s="1"/>
  <c r="M81" i="1"/>
  <c r="Q81" i="1" s="1"/>
  <c r="M82" i="1"/>
  <c r="Q82" i="1" s="1"/>
  <c r="M83" i="1"/>
  <c r="Q83" i="1" s="1"/>
  <c r="M84" i="1"/>
  <c r="Q84" i="1" s="1"/>
  <c r="M85" i="1"/>
  <c r="Q85" i="1" s="1"/>
  <c r="M86" i="1"/>
  <c r="Q86" i="1" s="1"/>
  <c r="M87" i="1"/>
  <c r="Q87" i="1" s="1"/>
  <c r="M88" i="1"/>
  <c r="Q88" i="1" s="1"/>
  <c r="M89" i="1"/>
  <c r="Q89" i="1" s="1"/>
  <c r="M90" i="1"/>
  <c r="Q90" i="1" s="1"/>
  <c r="M91" i="1"/>
  <c r="Q91" i="1" s="1"/>
  <c r="M92" i="1"/>
  <c r="Q92" i="1" s="1"/>
  <c r="M93" i="1"/>
  <c r="Q93" i="1" s="1"/>
  <c r="M94" i="1"/>
  <c r="Q94" i="1" s="1"/>
  <c r="M95" i="1"/>
  <c r="Q95" i="1" s="1"/>
  <c r="M96" i="1"/>
  <c r="Q96" i="1" s="1"/>
  <c r="M97" i="1"/>
  <c r="Q97" i="1" s="1"/>
  <c r="M98" i="1"/>
  <c r="Q98" i="1" s="1"/>
  <c r="M99" i="1"/>
  <c r="Q99" i="1" s="1"/>
  <c r="M100" i="1"/>
  <c r="Q100" i="1" s="1"/>
  <c r="M101" i="1"/>
  <c r="Q101" i="1" s="1"/>
  <c r="M102" i="1"/>
  <c r="Q102" i="1" s="1"/>
  <c r="M103" i="1"/>
  <c r="Q103" i="1" s="1"/>
  <c r="M104" i="1"/>
  <c r="Q104" i="1" s="1"/>
  <c r="M105" i="1"/>
  <c r="Q105" i="1" s="1"/>
  <c r="M106" i="1"/>
  <c r="Q106" i="1" s="1"/>
  <c r="M107" i="1"/>
  <c r="Q107" i="1" s="1"/>
  <c r="M108" i="1"/>
  <c r="Q108" i="1" s="1"/>
  <c r="M109" i="1"/>
  <c r="Q109" i="1" s="1"/>
  <c r="M110" i="1"/>
  <c r="Q110" i="1" s="1"/>
  <c r="M111" i="1"/>
  <c r="Q111" i="1" s="1"/>
  <c r="M112" i="1"/>
  <c r="Q112" i="1" s="1"/>
  <c r="M113" i="1"/>
  <c r="Q113" i="1" s="1"/>
  <c r="M114" i="1"/>
  <c r="Q114" i="1" s="1"/>
  <c r="M115" i="1"/>
  <c r="Q115" i="1" s="1"/>
  <c r="M116" i="1"/>
  <c r="Q116" i="1" s="1"/>
  <c r="M117" i="1"/>
  <c r="Q117" i="1" s="1"/>
  <c r="M118" i="1"/>
  <c r="Q118" i="1" s="1"/>
  <c r="M119" i="1"/>
  <c r="Q119" i="1" s="1"/>
  <c r="M120" i="1"/>
  <c r="Q120" i="1" s="1"/>
  <c r="M121" i="1"/>
  <c r="Q121" i="1" s="1"/>
  <c r="M122" i="1"/>
  <c r="Q122" i="1" s="1"/>
  <c r="M123" i="1"/>
  <c r="Q123" i="1" s="1"/>
  <c r="M124" i="1"/>
  <c r="Q124" i="1" s="1"/>
  <c r="M125" i="1"/>
  <c r="Q125" i="1" s="1"/>
  <c r="M126" i="1"/>
  <c r="Q126" i="1" s="1"/>
  <c r="M127" i="1"/>
  <c r="Q127" i="1" s="1"/>
  <c r="M128" i="1"/>
  <c r="Q128" i="1" s="1"/>
  <c r="M129" i="1"/>
  <c r="Q129" i="1" s="1"/>
  <c r="M130" i="1"/>
  <c r="Q130" i="1" s="1"/>
  <c r="M131" i="1"/>
  <c r="Q131" i="1" s="1"/>
  <c r="M132" i="1"/>
  <c r="Q132" i="1" s="1"/>
  <c r="M133" i="1"/>
  <c r="Q133" i="1" s="1"/>
  <c r="M134" i="1"/>
  <c r="Q134" i="1" s="1"/>
  <c r="M135" i="1"/>
  <c r="Q135" i="1" s="1"/>
  <c r="M136" i="1"/>
  <c r="Q136" i="1" s="1"/>
  <c r="M137" i="1"/>
  <c r="Q137" i="1" s="1"/>
  <c r="M138" i="1"/>
  <c r="Q138" i="1" s="1"/>
  <c r="M139" i="1"/>
  <c r="Q139" i="1" s="1"/>
  <c r="M140" i="1"/>
  <c r="Q140" i="1" s="1"/>
  <c r="M141" i="1"/>
  <c r="Q141" i="1" s="1"/>
  <c r="M142" i="1"/>
  <c r="Q142" i="1" s="1"/>
  <c r="M143" i="1"/>
  <c r="Q143" i="1" s="1"/>
  <c r="M144" i="1"/>
  <c r="Q144" i="1" s="1"/>
  <c r="M145" i="1"/>
  <c r="Q145" i="1" s="1"/>
  <c r="M146" i="1"/>
  <c r="Q146" i="1" s="1"/>
  <c r="M147" i="1"/>
  <c r="Q147" i="1" s="1"/>
  <c r="M148" i="1"/>
  <c r="Q148" i="1" s="1"/>
  <c r="M149" i="1"/>
  <c r="Q149" i="1" s="1"/>
  <c r="M150" i="1"/>
  <c r="Q150" i="1" s="1"/>
  <c r="M151" i="1"/>
  <c r="Q151" i="1" s="1"/>
  <c r="M152" i="1"/>
  <c r="Q152" i="1" s="1"/>
  <c r="M153" i="1"/>
  <c r="Q153" i="1" s="1"/>
  <c r="M154" i="1"/>
  <c r="Q154" i="1" s="1"/>
  <c r="M155" i="1"/>
  <c r="Q155" i="1" s="1"/>
  <c r="M156" i="1"/>
  <c r="Q156" i="1" s="1"/>
  <c r="M157" i="1"/>
  <c r="Q157" i="1" s="1"/>
  <c r="M158" i="1"/>
  <c r="Q158" i="1" s="1"/>
  <c r="M159" i="1"/>
  <c r="Q159" i="1" s="1"/>
  <c r="M160" i="1"/>
  <c r="Q160" i="1" s="1"/>
  <c r="M161" i="1"/>
  <c r="Q161" i="1" s="1"/>
  <c r="M162" i="1"/>
  <c r="Q162" i="1" s="1"/>
  <c r="M163" i="1"/>
  <c r="Q163" i="1" s="1"/>
  <c r="M164" i="1"/>
  <c r="Q164" i="1" s="1"/>
  <c r="M165" i="1"/>
  <c r="Q165" i="1" s="1"/>
  <c r="M166" i="1"/>
  <c r="Q166" i="1" s="1"/>
  <c r="M167" i="1"/>
  <c r="Q167" i="1" s="1"/>
  <c r="M168" i="1"/>
  <c r="Q168" i="1" s="1"/>
  <c r="M169" i="1"/>
  <c r="Q169" i="1" s="1"/>
  <c r="M170" i="1"/>
  <c r="Q170" i="1" s="1"/>
  <c r="M171" i="1"/>
  <c r="Q171" i="1" s="1"/>
  <c r="M172" i="1"/>
  <c r="Q172" i="1" s="1"/>
  <c r="M173" i="1"/>
  <c r="Q173" i="1" s="1"/>
  <c r="M174" i="1"/>
  <c r="Q174" i="1" s="1"/>
  <c r="M175" i="1"/>
  <c r="Q175" i="1" s="1"/>
  <c r="M176" i="1"/>
  <c r="Q176" i="1" s="1"/>
  <c r="M177" i="1"/>
  <c r="Q177" i="1" s="1"/>
  <c r="M178" i="1"/>
  <c r="Q178" i="1" s="1"/>
  <c r="M179" i="1"/>
  <c r="Q179" i="1" s="1"/>
  <c r="M180" i="1"/>
  <c r="Q180" i="1" s="1"/>
  <c r="M181" i="1"/>
  <c r="Q181" i="1" s="1"/>
  <c r="M182" i="1"/>
  <c r="Q182" i="1" s="1"/>
  <c r="M183" i="1"/>
  <c r="Q183" i="1" s="1"/>
  <c r="M184" i="1"/>
  <c r="Q184" i="1" s="1"/>
  <c r="M185" i="1"/>
  <c r="Q185" i="1" s="1"/>
  <c r="M186" i="1"/>
  <c r="Q186" i="1" s="1"/>
  <c r="M187" i="1"/>
  <c r="Q187" i="1" s="1"/>
  <c r="M188" i="1"/>
  <c r="Q188" i="1" s="1"/>
  <c r="M189" i="1"/>
  <c r="Q189" i="1" s="1"/>
  <c r="M190" i="1"/>
  <c r="Q190" i="1" s="1"/>
  <c r="M191" i="1"/>
  <c r="Q191" i="1" s="1"/>
  <c r="M192" i="1"/>
  <c r="Q192" i="1" s="1"/>
  <c r="M193" i="1"/>
  <c r="Q193" i="1" s="1"/>
  <c r="M194" i="1"/>
  <c r="Q194" i="1" s="1"/>
  <c r="M195" i="1"/>
  <c r="Q195" i="1" s="1"/>
  <c r="M196" i="1"/>
  <c r="Q196" i="1" s="1"/>
  <c r="M197" i="1"/>
  <c r="Q197" i="1" s="1"/>
  <c r="M198" i="1"/>
  <c r="Q198" i="1" s="1"/>
  <c r="M199" i="1"/>
  <c r="Q199" i="1" s="1"/>
  <c r="M200" i="1"/>
  <c r="Q200" i="1" s="1"/>
  <c r="M201" i="1"/>
  <c r="Q201" i="1" s="1"/>
  <c r="M202" i="1"/>
  <c r="Q202" i="1" s="1"/>
  <c r="M203" i="1"/>
  <c r="Q203" i="1" s="1"/>
  <c r="M204" i="1"/>
  <c r="Q204" i="1" s="1"/>
  <c r="M205" i="1"/>
  <c r="Q205" i="1" s="1"/>
  <c r="M206" i="1"/>
  <c r="Q206" i="1" s="1"/>
  <c r="M207" i="1"/>
  <c r="Q207" i="1" s="1"/>
  <c r="M208" i="1"/>
  <c r="Q208" i="1" s="1"/>
  <c r="M209" i="1"/>
  <c r="Q209" i="1" s="1"/>
  <c r="M210" i="1"/>
  <c r="Q210" i="1" s="1"/>
  <c r="M211" i="1"/>
  <c r="Q211" i="1" s="1"/>
  <c r="M212" i="1"/>
  <c r="Q212" i="1" s="1"/>
  <c r="M213" i="1"/>
  <c r="Q213" i="1" s="1"/>
  <c r="M214" i="1"/>
  <c r="Q214" i="1" s="1"/>
  <c r="M215" i="1"/>
  <c r="Q215" i="1" s="1"/>
  <c r="M216" i="1"/>
  <c r="Q216" i="1" s="1"/>
  <c r="M217" i="1"/>
  <c r="Q217" i="1" s="1"/>
  <c r="M218" i="1"/>
  <c r="Q218" i="1" s="1"/>
  <c r="M219" i="1"/>
  <c r="Q219" i="1" s="1"/>
  <c r="M220" i="1"/>
  <c r="Q220" i="1" s="1"/>
  <c r="M221" i="1"/>
  <c r="Q221" i="1" s="1"/>
  <c r="M222" i="1"/>
  <c r="Q222" i="1" s="1"/>
  <c r="M223" i="1"/>
  <c r="Q223" i="1" s="1"/>
  <c r="M224" i="1"/>
  <c r="Q224" i="1" s="1"/>
  <c r="M225" i="1"/>
  <c r="Q225" i="1" s="1"/>
  <c r="M226" i="1"/>
  <c r="Q226" i="1" s="1"/>
  <c r="M227" i="1"/>
  <c r="Q227" i="1" s="1"/>
  <c r="M228" i="1"/>
  <c r="Q228" i="1" s="1"/>
  <c r="M229" i="1"/>
  <c r="Q229" i="1" s="1"/>
  <c r="M230" i="1"/>
  <c r="Q230" i="1" s="1"/>
  <c r="M231" i="1"/>
  <c r="Q231" i="1" s="1"/>
  <c r="M232" i="1"/>
  <c r="Q232" i="1" s="1"/>
  <c r="M233" i="1"/>
  <c r="Q233" i="1" s="1"/>
  <c r="M234" i="1"/>
  <c r="Q234" i="1" s="1"/>
  <c r="M235" i="1"/>
  <c r="Q235" i="1" s="1"/>
  <c r="M236" i="1"/>
  <c r="Q236" i="1" s="1"/>
  <c r="M237" i="1"/>
  <c r="Q237" i="1" s="1"/>
  <c r="M238" i="1"/>
  <c r="Q238" i="1" s="1"/>
  <c r="M239" i="1"/>
  <c r="Q239" i="1" s="1"/>
  <c r="M240" i="1"/>
  <c r="Q240" i="1" s="1"/>
  <c r="M241" i="1"/>
  <c r="Q241" i="1" s="1"/>
  <c r="M242" i="1"/>
  <c r="Q242" i="1" s="1"/>
  <c r="M243" i="1"/>
  <c r="Q243" i="1" s="1"/>
  <c r="M244" i="1"/>
  <c r="Q244" i="1" s="1"/>
  <c r="M245" i="1"/>
  <c r="Q245" i="1" s="1"/>
  <c r="M246" i="1"/>
  <c r="Q246" i="1" s="1"/>
  <c r="M247" i="1"/>
  <c r="Q247" i="1" s="1"/>
  <c r="M248" i="1"/>
  <c r="Q248" i="1" s="1"/>
  <c r="M249" i="1"/>
  <c r="Q249" i="1" s="1"/>
  <c r="M250" i="1"/>
  <c r="Q250" i="1" s="1"/>
  <c r="M251" i="1"/>
  <c r="Q251" i="1" s="1"/>
  <c r="M252" i="1"/>
  <c r="Q252" i="1" s="1"/>
  <c r="M253" i="1"/>
  <c r="Q253" i="1" s="1"/>
  <c r="M254" i="1"/>
  <c r="Q254" i="1" s="1"/>
  <c r="M255" i="1"/>
  <c r="Q255" i="1" s="1"/>
  <c r="M256" i="1"/>
  <c r="Q256" i="1" s="1"/>
  <c r="M257" i="1"/>
  <c r="Q257" i="1" s="1"/>
  <c r="M258" i="1"/>
  <c r="Q258" i="1" s="1"/>
  <c r="M259" i="1"/>
  <c r="Q259" i="1" s="1"/>
  <c r="M260" i="1"/>
  <c r="Q260" i="1" s="1"/>
  <c r="M261" i="1"/>
  <c r="Q261" i="1" s="1"/>
  <c r="M262" i="1"/>
  <c r="Q262" i="1" s="1"/>
  <c r="M263" i="1"/>
  <c r="Q263" i="1" s="1"/>
  <c r="M264" i="1"/>
  <c r="Q264" i="1" s="1"/>
  <c r="M265" i="1"/>
  <c r="Q265" i="1" s="1"/>
  <c r="M266" i="1"/>
  <c r="Q266" i="1" s="1"/>
  <c r="M267" i="1"/>
  <c r="Q267" i="1" s="1"/>
  <c r="M268" i="1"/>
  <c r="Q268" i="1" s="1"/>
  <c r="M269" i="1"/>
  <c r="Q269" i="1" s="1"/>
  <c r="M270" i="1"/>
  <c r="Q270" i="1" s="1"/>
  <c r="M271" i="1"/>
  <c r="Q271" i="1" s="1"/>
  <c r="M272" i="1"/>
  <c r="Q272" i="1" s="1"/>
  <c r="M273" i="1"/>
  <c r="Q273" i="1" s="1"/>
  <c r="M274" i="1"/>
  <c r="Q274" i="1" s="1"/>
  <c r="M275" i="1"/>
  <c r="Q275" i="1" s="1"/>
  <c r="M276" i="1"/>
  <c r="Q276" i="1" s="1"/>
  <c r="M277" i="1"/>
  <c r="Q277" i="1" s="1"/>
  <c r="M278" i="1"/>
  <c r="Q278" i="1" s="1"/>
  <c r="M279" i="1"/>
  <c r="Q279" i="1" s="1"/>
  <c r="M280" i="1"/>
  <c r="Q280" i="1" s="1"/>
  <c r="M281" i="1"/>
  <c r="Q281" i="1" s="1"/>
  <c r="M282" i="1"/>
  <c r="Q282" i="1" s="1"/>
  <c r="M283" i="1"/>
  <c r="Q283" i="1" s="1"/>
  <c r="M284" i="1"/>
  <c r="Q284" i="1" s="1"/>
  <c r="M285" i="1"/>
  <c r="Q285" i="1" s="1"/>
  <c r="M286" i="1"/>
  <c r="Q286" i="1" s="1"/>
  <c r="M287" i="1"/>
  <c r="Q287" i="1" s="1"/>
  <c r="M288" i="1"/>
  <c r="Q288" i="1" s="1"/>
  <c r="M289" i="1"/>
  <c r="Q289" i="1" s="1"/>
  <c r="M290" i="1"/>
  <c r="Q290" i="1" s="1"/>
  <c r="M291" i="1"/>
  <c r="Q291" i="1" s="1"/>
  <c r="M292" i="1"/>
  <c r="Q292" i="1" s="1"/>
  <c r="M293" i="1"/>
  <c r="Q293" i="1" s="1"/>
  <c r="M294" i="1"/>
  <c r="Q294" i="1" s="1"/>
  <c r="M295" i="1"/>
  <c r="Q295" i="1" s="1"/>
  <c r="M296" i="1"/>
  <c r="Q296" i="1" s="1"/>
  <c r="M297" i="1"/>
  <c r="Q297" i="1" s="1"/>
  <c r="M298" i="1"/>
  <c r="Q298" i="1" s="1"/>
  <c r="M299" i="1"/>
  <c r="Q299" i="1" s="1"/>
  <c r="M300" i="1"/>
  <c r="Q300" i="1" s="1"/>
  <c r="M301" i="1"/>
  <c r="Q301" i="1" s="1"/>
  <c r="M2" i="1"/>
  <c r="Q2" i="1" s="1"/>
  <c r="L3" i="1"/>
  <c r="P3" i="1" s="1"/>
  <c r="L4" i="1"/>
  <c r="P4" i="1" s="1"/>
  <c r="L5" i="1"/>
  <c r="P5" i="1" s="1"/>
  <c r="L6" i="1"/>
  <c r="P6" i="1" s="1"/>
  <c r="L7" i="1"/>
  <c r="P7" i="1" s="1"/>
  <c r="L8" i="1"/>
  <c r="P8" i="1" s="1"/>
  <c r="L9" i="1"/>
  <c r="P9" i="1" s="1"/>
  <c r="L10" i="1"/>
  <c r="P10" i="1" s="1"/>
  <c r="L11" i="1"/>
  <c r="P11" i="1" s="1"/>
  <c r="L12" i="1"/>
  <c r="P12" i="1" s="1"/>
  <c r="L13" i="1"/>
  <c r="P13" i="1" s="1"/>
  <c r="L14" i="1"/>
  <c r="P14" i="1" s="1"/>
  <c r="L15" i="1"/>
  <c r="P15" i="1" s="1"/>
  <c r="L16" i="1"/>
  <c r="P16" i="1" s="1"/>
  <c r="L17" i="1"/>
  <c r="P17" i="1" s="1"/>
  <c r="L18" i="1"/>
  <c r="P18" i="1" s="1"/>
  <c r="L19" i="1"/>
  <c r="P19" i="1" s="1"/>
  <c r="L20" i="1"/>
  <c r="P20" i="1" s="1"/>
  <c r="L21" i="1"/>
  <c r="P21" i="1" s="1"/>
  <c r="L22" i="1"/>
  <c r="P22" i="1" s="1"/>
  <c r="L23" i="1"/>
  <c r="P23" i="1" s="1"/>
  <c r="L24" i="1"/>
  <c r="P24" i="1" s="1"/>
  <c r="L25" i="1"/>
  <c r="P25" i="1" s="1"/>
  <c r="L26" i="1"/>
  <c r="P26" i="1" s="1"/>
  <c r="L27" i="1"/>
  <c r="P27" i="1" s="1"/>
  <c r="L28" i="1"/>
  <c r="P28" i="1" s="1"/>
  <c r="L29" i="1"/>
  <c r="P29" i="1" s="1"/>
  <c r="L30" i="1"/>
  <c r="P30" i="1" s="1"/>
  <c r="L31" i="1"/>
  <c r="P31" i="1" s="1"/>
  <c r="L32" i="1"/>
  <c r="P32" i="1" s="1"/>
  <c r="L33" i="1"/>
  <c r="P33" i="1" s="1"/>
  <c r="L34" i="1"/>
  <c r="P34" i="1" s="1"/>
  <c r="L35" i="1"/>
  <c r="P35" i="1" s="1"/>
  <c r="L36" i="1"/>
  <c r="P36" i="1" s="1"/>
  <c r="L37" i="1"/>
  <c r="P37" i="1" s="1"/>
  <c r="L38" i="1"/>
  <c r="P38" i="1" s="1"/>
  <c r="L39" i="1"/>
  <c r="P39" i="1" s="1"/>
  <c r="L40" i="1"/>
  <c r="P40" i="1" s="1"/>
  <c r="L41" i="1"/>
  <c r="P41" i="1" s="1"/>
  <c r="L42" i="1"/>
  <c r="P42" i="1" s="1"/>
  <c r="L43" i="1"/>
  <c r="P43" i="1" s="1"/>
  <c r="L44" i="1"/>
  <c r="P44" i="1" s="1"/>
  <c r="L45" i="1"/>
  <c r="P45" i="1" s="1"/>
  <c r="L46" i="1"/>
  <c r="P46" i="1" s="1"/>
  <c r="L47" i="1"/>
  <c r="P47" i="1" s="1"/>
  <c r="L48" i="1"/>
  <c r="P48" i="1" s="1"/>
  <c r="L49" i="1"/>
  <c r="P49" i="1" s="1"/>
  <c r="L50" i="1"/>
  <c r="P50" i="1" s="1"/>
  <c r="L51" i="1"/>
  <c r="P51" i="1" s="1"/>
  <c r="L52" i="1"/>
  <c r="P52" i="1" s="1"/>
  <c r="L53" i="1"/>
  <c r="P53" i="1" s="1"/>
  <c r="L54" i="1"/>
  <c r="P54" i="1" s="1"/>
  <c r="L55" i="1"/>
  <c r="P55" i="1" s="1"/>
  <c r="L56" i="1"/>
  <c r="P56" i="1" s="1"/>
  <c r="L57" i="1"/>
  <c r="P57" i="1" s="1"/>
  <c r="L58" i="1"/>
  <c r="P58" i="1" s="1"/>
  <c r="L59" i="1"/>
  <c r="P59" i="1" s="1"/>
  <c r="L60" i="1"/>
  <c r="P60" i="1" s="1"/>
  <c r="L61" i="1"/>
  <c r="P61" i="1" s="1"/>
  <c r="L62" i="1"/>
  <c r="P62" i="1" s="1"/>
  <c r="L63" i="1"/>
  <c r="P63" i="1" s="1"/>
  <c r="L64" i="1"/>
  <c r="P64" i="1" s="1"/>
  <c r="L65" i="1"/>
  <c r="P65" i="1" s="1"/>
  <c r="L66" i="1"/>
  <c r="P66" i="1" s="1"/>
  <c r="L67" i="1"/>
  <c r="P67" i="1" s="1"/>
  <c r="L68" i="1"/>
  <c r="P68" i="1" s="1"/>
  <c r="L69" i="1"/>
  <c r="P69" i="1" s="1"/>
  <c r="L70" i="1"/>
  <c r="P70" i="1" s="1"/>
  <c r="L71" i="1"/>
  <c r="P71" i="1" s="1"/>
  <c r="L72" i="1"/>
  <c r="P72" i="1" s="1"/>
  <c r="L73" i="1"/>
  <c r="P73" i="1" s="1"/>
  <c r="L74" i="1"/>
  <c r="P74" i="1" s="1"/>
  <c r="L75" i="1"/>
  <c r="P75" i="1" s="1"/>
  <c r="L76" i="1"/>
  <c r="P76" i="1" s="1"/>
  <c r="L77" i="1"/>
  <c r="P77" i="1" s="1"/>
  <c r="L78" i="1"/>
  <c r="P78" i="1" s="1"/>
  <c r="L79" i="1"/>
  <c r="P79" i="1" s="1"/>
  <c r="L80" i="1"/>
  <c r="P80" i="1" s="1"/>
  <c r="L81" i="1"/>
  <c r="P81" i="1" s="1"/>
  <c r="L82" i="1"/>
  <c r="P82" i="1" s="1"/>
  <c r="L83" i="1"/>
  <c r="P83" i="1" s="1"/>
  <c r="L84" i="1"/>
  <c r="P84" i="1" s="1"/>
  <c r="L85" i="1"/>
  <c r="P85" i="1" s="1"/>
  <c r="L86" i="1"/>
  <c r="P86" i="1" s="1"/>
  <c r="L87" i="1"/>
  <c r="P87" i="1" s="1"/>
  <c r="L88" i="1"/>
  <c r="P88" i="1" s="1"/>
  <c r="L89" i="1"/>
  <c r="P89" i="1" s="1"/>
  <c r="L90" i="1"/>
  <c r="P90" i="1" s="1"/>
  <c r="L91" i="1"/>
  <c r="P91" i="1" s="1"/>
  <c r="L92" i="1"/>
  <c r="P92" i="1" s="1"/>
  <c r="L93" i="1"/>
  <c r="P93" i="1" s="1"/>
  <c r="L94" i="1"/>
  <c r="P94" i="1" s="1"/>
  <c r="L95" i="1"/>
  <c r="P95" i="1" s="1"/>
  <c r="L96" i="1"/>
  <c r="P96" i="1" s="1"/>
  <c r="L97" i="1"/>
  <c r="P97" i="1" s="1"/>
  <c r="L98" i="1"/>
  <c r="P98" i="1" s="1"/>
  <c r="L99" i="1"/>
  <c r="P99" i="1" s="1"/>
  <c r="L100" i="1"/>
  <c r="P100" i="1" s="1"/>
  <c r="L101" i="1"/>
  <c r="P101" i="1" s="1"/>
  <c r="L102" i="1"/>
  <c r="P102" i="1" s="1"/>
  <c r="L103" i="1"/>
  <c r="P103" i="1" s="1"/>
  <c r="L104" i="1"/>
  <c r="P104" i="1" s="1"/>
  <c r="L105" i="1"/>
  <c r="P105" i="1" s="1"/>
  <c r="L106" i="1"/>
  <c r="P106" i="1" s="1"/>
  <c r="L107" i="1"/>
  <c r="P107" i="1" s="1"/>
  <c r="L108" i="1"/>
  <c r="P108" i="1" s="1"/>
  <c r="L109" i="1"/>
  <c r="P109" i="1" s="1"/>
  <c r="L110" i="1"/>
  <c r="P110" i="1" s="1"/>
  <c r="L111" i="1"/>
  <c r="P111" i="1" s="1"/>
  <c r="L112" i="1"/>
  <c r="P112" i="1" s="1"/>
  <c r="L113" i="1"/>
  <c r="P113" i="1" s="1"/>
  <c r="L114" i="1"/>
  <c r="P114" i="1" s="1"/>
  <c r="L115" i="1"/>
  <c r="P115" i="1" s="1"/>
  <c r="L116" i="1"/>
  <c r="P116" i="1" s="1"/>
  <c r="L117" i="1"/>
  <c r="P117" i="1" s="1"/>
  <c r="L118" i="1"/>
  <c r="P118" i="1" s="1"/>
  <c r="L119" i="1"/>
  <c r="P119" i="1" s="1"/>
  <c r="L120" i="1"/>
  <c r="P120" i="1" s="1"/>
  <c r="L121" i="1"/>
  <c r="P121" i="1" s="1"/>
  <c r="L122" i="1"/>
  <c r="P122" i="1" s="1"/>
  <c r="L123" i="1"/>
  <c r="P123" i="1" s="1"/>
  <c r="L124" i="1"/>
  <c r="P124" i="1" s="1"/>
  <c r="L125" i="1"/>
  <c r="P125" i="1" s="1"/>
  <c r="L126" i="1"/>
  <c r="P126" i="1" s="1"/>
  <c r="L127" i="1"/>
  <c r="P127" i="1" s="1"/>
  <c r="L128" i="1"/>
  <c r="P128" i="1" s="1"/>
  <c r="L129" i="1"/>
  <c r="P129" i="1" s="1"/>
  <c r="L130" i="1"/>
  <c r="P130" i="1" s="1"/>
  <c r="L131" i="1"/>
  <c r="P131" i="1" s="1"/>
  <c r="L132" i="1"/>
  <c r="P132" i="1" s="1"/>
  <c r="L133" i="1"/>
  <c r="P133" i="1" s="1"/>
  <c r="L134" i="1"/>
  <c r="P134" i="1" s="1"/>
  <c r="L135" i="1"/>
  <c r="P135" i="1" s="1"/>
  <c r="L136" i="1"/>
  <c r="P136" i="1" s="1"/>
  <c r="L137" i="1"/>
  <c r="P137" i="1" s="1"/>
  <c r="L138" i="1"/>
  <c r="P138" i="1" s="1"/>
  <c r="L139" i="1"/>
  <c r="P139" i="1" s="1"/>
  <c r="L140" i="1"/>
  <c r="P140" i="1" s="1"/>
  <c r="L141" i="1"/>
  <c r="P141" i="1" s="1"/>
  <c r="L142" i="1"/>
  <c r="P142" i="1" s="1"/>
  <c r="L143" i="1"/>
  <c r="P143" i="1" s="1"/>
  <c r="L144" i="1"/>
  <c r="P144" i="1" s="1"/>
  <c r="L145" i="1"/>
  <c r="P145" i="1" s="1"/>
  <c r="L146" i="1"/>
  <c r="P146" i="1" s="1"/>
  <c r="L147" i="1"/>
  <c r="P147" i="1" s="1"/>
  <c r="L148" i="1"/>
  <c r="P148" i="1" s="1"/>
  <c r="L149" i="1"/>
  <c r="P149" i="1" s="1"/>
  <c r="L150" i="1"/>
  <c r="P150" i="1" s="1"/>
  <c r="L151" i="1"/>
  <c r="P151" i="1" s="1"/>
  <c r="L152" i="1"/>
  <c r="P152" i="1" s="1"/>
  <c r="L153" i="1"/>
  <c r="P153" i="1" s="1"/>
  <c r="L154" i="1"/>
  <c r="P154" i="1" s="1"/>
  <c r="L155" i="1"/>
  <c r="P155" i="1" s="1"/>
  <c r="L156" i="1"/>
  <c r="P156" i="1" s="1"/>
  <c r="L157" i="1"/>
  <c r="P157" i="1" s="1"/>
  <c r="L158" i="1"/>
  <c r="P158" i="1" s="1"/>
  <c r="L159" i="1"/>
  <c r="P159" i="1" s="1"/>
  <c r="L160" i="1"/>
  <c r="P160" i="1" s="1"/>
  <c r="L161" i="1"/>
  <c r="P161" i="1" s="1"/>
  <c r="L162" i="1"/>
  <c r="P162" i="1" s="1"/>
  <c r="L163" i="1"/>
  <c r="P163" i="1" s="1"/>
  <c r="L164" i="1"/>
  <c r="P164" i="1" s="1"/>
  <c r="L165" i="1"/>
  <c r="P165" i="1" s="1"/>
  <c r="L166" i="1"/>
  <c r="P166" i="1" s="1"/>
  <c r="L167" i="1"/>
  <c r="P167" i="1" s="1"/>
  <c r="L168" i="1"/>
  <c r="P168" i="1" s="1"/>
  <c r="L169" i="1"/>
  <c r="P169" i="1" s="1"/>
  <c r="L170" i="1"/>
  <c r="P170" i="1" s="1"/>
  <c r="L171" i="1"/>
  <c r="P171" i="1" s="1"/>
  <c r="L172" i="1"/>
  <c r="P172" i="1" s="1"/>
  <c r="L173" i="1"/>
  <c r="P173" i="1" s="1"/>
  <c r="L174" i="1"/>
  <c r="P174" i="1" s="1"/>
  <c r="L175" i="1"/>
  <c r="P175" i="1" s="1"/>
  <c r="L176" i="1"/>
  <c r="P176" i="1" s="1"/>
  <c r="L177" i="1"/>
  <c r="P177" i="1" s="1"/>
  <c r="L178" i="1"/>
  <c r="P178" i="1" s="1"/>
  <c r="L179" i="1"/>
  <c r="P179" i="1" s="1"/>
  <c r="L180" i="1"/>
  <c r="P180" i="1" s="1"/>
  <c r="L181" i="1"/>
  <c r="P181" i="1" s="1"/>
  <c r="L182" i="1"/>
  <c r="P182" i="1" s="1"/>
  <c r="L183" i="1"/>
  <c r="P183" i="1" s="1"/>
  <c r="L184" i="1"/>
  <c r="P184" i="1" s="1"/>
  <c r="L185" i="1"/>
  <c r="P185" i="1" s="1"/>
  <c r="L186" i="1"/>
  <c r="P186" i="1" s="1"/>
  <c r="L187" i="1"/>
  <c r="P187" i="1" s="1"/>
  <c r="L188" i="1"/>
  <c r="P188" i="1" s="1"/>
  <c r="L189" i="1"/>
  <c r="P189" i="1" s="1"/>
  <c r="L190" i="1"/>
  <c r="P190" i="1" s="1"/>
  <c r="L191" i="1"/>
  <c r="P191" i="1" s="1"/>
  <c r="L192" i="1"/>
  <c r="P192" i="1" s="1"/>
  <c r="L193" i="1"/>
  <c r="P193" i="1" s="1"/>
  <c r="L194" i="1"/>
  <c r="P194" i="1" s="1"/>
  <c r="L195" i="1"/>
  <c r="P195" i="1" s="1"/>
  <c r="L196" i="1"/>
  <c r="P196" i="1" s="1"/>
  <c r="L197" i="1"/>
  <c r="P197" i="1" s="1"/>
  <c r="L198" i="1"/>
  <c r="P198" i="1" s="1"/>
  <c r="L199" i="1"/>
  <c r="P199" i="1" s="1"/>
  <c r="L200" i="1"/>
  <c r="P200" i="1" s="1"/>
  <c r="L201" i="1"/>
  <c r="P201" i="1" s="1"/>
  <c r="L202" i="1"/>
  <c r="P202" i="1" s="1"/>
  <c r="L203" i="1"/>
  <c r="P203" i="1" s="1"/>
  <c r="L204" i="1"/>
  <c r="P204" i="1" s="1"/>
  <c r="L205" i="1"/>
  <c r="P205" i="1" s="1"/>
  <c r="L206" i="1"/>
  <c r="P206" i="1" s="1"/>
  <c r="L207" i="1"/>
  <c r="P207" i="1" s="1"/>
  <c r="L208" i="1"/>
  <c r="P208" i="1" s="1"/>
  <c r="L209" i="1"/>
  <c r="P209" i="1" s="1"/>
  <c r="L210" i="1"/>
  <c r="P210" i="1" s="1"/>
  <c r="L211" i="1"/>
  <c r="P211" i="1" s="1"/>
  <c r="L212" i="1"/>
  <c r="P212" i="1" s="1"/>
  <c r="L213" i="1"/>
  <c r="P213" i="1" s="1"/>
  <c r="L214" i="1"/>
  <c r="P214" i="1" s="1"/>
  <c r="L215" i="1"/>
  <c r="P215" i="1" s="1"/>
  <c r="L216" i="1"/>
  <c r="P216" i="1" s="1"/>
  <c r="L217" i="1"/>
  <c r="P217" i="1" s="1"/>
  <c r="L218" i="1"/>
  <c r="P218" i="1" s="1"/>
  <c r="L219" i="1"/>
  <c r="P219" i="1" s="1"/>
  <c r="L220" i="1"/>
  <c r="P220" i="1" s="1"/>
  <c r="L221" i="1"/>
  <c r="P221" i="1" s="1"/>
  <c r="L222" i="1"/>
  <c r="P222" i="1" s="1"/>
  <c r="L223" i="1"/>
  <c r="P223" i="1" s="1"/>
  <c r="L224" i="1"/>
  <c r="P224" i="1" s="1"/>
  <c r="L225" i="1"/>
  <c r="P225" i="1" s="1"/>
  <c r="L226" i="1"/>
  <c r="P226" i="1" s="1"/>
  <c r="L227" i="1"/>
  <c r="P227" i="1" s="1"/>
  <c r="L228" i="1"/>
  <c r="P228" i="1" s="1"/>
  <c r="L229" i="1"/>
  <c r="P229" i="1" s="1"/>
  <c r="L230" i="1"/>
  <c r="P230" i="1" s="1"/>
  <c r="L231" i="1"/>
  <c r="P231" i="1" s="1"/>
  <c r="L232" i="1"/>
  <c r="P232" i="1" s="1"/>
  <c r="L233" i="1"/>
  <c r="P233" i="1" s="1"/>
  <c r="L234" i="1"/>
  <c r="P234" i="1" s="1"/>
  <c r="L235" i="1"/>
  <c r="P235" i="1" s="1"/>
  <c r="L236" i="1"/>
  <c r="P236" i="1" s="1"/>
  <c r="L237" i="1"/>
  <c r="P237" i="1" s="1"/>
  <c r="L238" i="1"/>
  <c r="P238" i="1" s="1"/>
  <c r="L239" i="1"/>
  <c r="P239" i="1" s="1"/>
  <c r="L240" i="1"/>
  <c r="P240" i="1" s="1"/>
  <c r="L241" i="1"/>
  <c r="P241" i="1" s="1"/>
  <c r="L242" i="1"/>
  <c r="P242" i="1" s="1"/>
  <c r="L243" i="1"/>
  <c r="P243" i="1" s="1"/>
  <c r="L244" i="1"/>
  <c r="P244" i="1" s="1"/>
  <c r="L245" i="1"/>
  <c r="P245" i="1" s="1"/>
  <c r="L246" i="1"/>
  <c r="P246" i="1" s="1"/>
  <c r="L247" i="1"/>
  <c r="P247" i="1" s="1"/>
  <c r="L248" i="1"/>
  <c r="P248" i="1" s="1"/>
  <c r="L249" i="1"/>
  <c r="P249" i="1" s="1"/>
  <c r="L250" i="1"/>
  <c r="P250" i="1" s="1"/>
  <c r="L251" i="1"/>
  <c r="P251" i="1" s="1"/>
  <c r="L252" i="1"/>
  <c r="P252" i="1" s="1"/>
  <c r="L253" i="1"/>
  <c r="P253" i="1" s="1"/>
  <c r="L254" i="1"/>
  <c r="P254" i="1" s="1"/>
  <c r="L255" i="1"/>
  <c r="P255" i="1" s="1"/>
  <c r="L256" i="1"/>
  <c r="P256" i="1" s="1"/>
  <c r="L257" i="1"/>
  <c r="P257" i="1" s="1"/>
  <c r="L258" i="1"/>
  <c r="P258" i="1" s="1"/>
  <c r="L259" i="1"/>
  <c r="P259" i="1" s="1"/>
  <c r="L260" i="1"/>
  <c r="P260" i="1" s="1"/>
  <c r="L261" i="1"/>
  <c r="P261" i="1" s="1"/>
  <c r="L262" i="1"/>
  <c r="P262" i="1" s="1"/>
  <c r="L263" i="1"/>
  <c r="P263" i="1" s="1"/>
  <c r="L264" i="1"/>
  <c r="P264" i="1" s="1"/>
  <c r="L265" i="1"/>
  <c r="P265" i="1" s="1"/>
  <c r="L266" i="1"/>
  <c r="P266" i="1" s="1"/>
  <c r="L267" i="1"/>
  <c r="P267" i="1" s="1"/>
  <c r="L268" i="1"/>
  <c r="P268" i="1" s="1"/>
  <c r="L269" i="1"/>
  <c r="P269" i="1" s="1"/>
  <c r="L270" i="1"/>
  <c r="P270" i="1" s="1"/>
  <c r="L271" i="1"/>
  <c r="P271" i="1" s="1"/>
  <c r="L272" i="1"/>
  <c r="P272" i="1" s="1"/>
  <c r="L273" i="1"/>
  <c r="P273" i="1" s="1"/>
  <c r="L274" i="1"/>
  <c r="P274" i="1" s="1"/>
  <c r="L275" i="1"/>
  <c r="P275" i="1" s="1"/>
  <c r="L276" i="1"/>
  <c r="P276" i="1" s="1"/>
  <c r="L277" i="1"/>
  <c r="P277" i="1" s="1"/>
  <c r="L278" i="1"/>
  <c r="P278" i="1" s="1"/>
  <c r="L279" i="1"/>
  <c r="P279" i="1" s="1"/>
  <c r="L280" i="1"/>
  <c r="P280" i="1" s="1"/>
  <c r="L281" i="1"/>
  <c r="P281" i="1" s="1"/>
  <c r="L282" i="1"/>
  <c r="P282" i="1" s="1"/>
  <c r="L283" i="1"/>
  <c r="P283" i="1" s="1"/>
  <c r="L284" i="1"/>
  <c r="P284" i="1" s="1"/>
  <c r="L285" i="1"/>
  <c r="P285" i="1" s="1"/>
  <c r="L286" i="1"/>
  <c r="P286" i="1" s="1"/>
  <c r="L287" i="1"/>
  <c r="P287" i="1" s="1"/>
  <c r="L288" i="1"/>
  <c r="P288" i="1" s="1"/>
  <c r="L289" i="1"/>
  <c r="P289" i="1" s="1"/>
  <c r="L290" i="1"/>
  <c r="P290" i="1" s="1"/>
  <c r="L291" i="1"/>
  <c r="P291" i="1" s="1"/>
  <c r="L292" i="1"/>
  <c r="P292" i="1" s="1"/>
  <c r="L293" i="1"/>
  <c r="P293" i="1" s="1"/>
  <c r="L294" i="1"/>
  <c r="P294" i="1" s="1"/>
  <c r="L295" i="1"/>
  <c r="P295" i="1" s="1"/>
  <c r="L296" i="1"/>
  <c r="P296" i="1" s="1"/>
  <c r="L297" i="1"/>
  <c r="P297" i="1" s="1"/>
  <c r="L298" i="1"/>
  <c r="P298" i="1" s="1"/>
  <c r="L299" i="1"/>
  <c r="P299" i="1" s="1"/>
  <c r="L300" i="1"/>
  <c r="P300" i="1" s="1"/>
  <c r="L301" i="1"/>
  <c r="P301" i="1" s="1"/>
  <c r="L2" i="1"/>
  <c r="P2" i="1" s="1"/>
  <c r="K3" i="1"/>
  <c r="O3" i="1" s="1"/>
  <c r="K4" i="1"/>
  <c r="O4" i="1" s="1"/>
  <c r="K5" i="1"/>
  <c r="O5" i="1" s="1"/>
  <c r="K6" i="1"/>
  <c r="O6" i="1" s="1"/>
  <c r="K7" i="1"/>
  <c r="O7" i="1" s="1"/>
  <c r="K8" i="1"/>
  <c r="O8" i="1" s="1"/>
  <c r="K9" i="1"/>
  <c r="O9" i="1" s="1"/>
  <c r="K10" i="1"/>
  <c r="O10" i="1" s="1"/>
  <c r="K11" i="1"/>
  <c r="O11" i="1" s="1"/>
  <c r="K12" i="1"/>
  <c r="O12" i="1" s="1"/>
  <c r="K13" i="1"/>
  <c r="O13" i="1" s="1"/>
  <c r="K14" i="1"/>
  <c r="O14" i="1" s="1"/>
  <c r="K15" i="1"/>
  <c r="O15" i="1" s="1"/>
  <c r="K16" i="1"/>
  <c r="O16" i="1" s="1"/>
  <c r="K17" i="1"/>
  <c r="O17" i="1" s="1"/>
  <c r="K18" i="1"/>
  <c r="O18" i="1" s="1"/>
  <c r="K19" i="1"/>
  <c r="O19" i="1" s="1"/>
  <c r="K20" i="1"/>
  <c r="O20" i="1" s="1"/>
  <c r="K21" i="1"/>
  <c r="O21" i="1" s="1"/>
  <c r="K22" i="1"/>
  <c r="O22" i="1" s="1"/>
  <c r="K23" i="1"/>
  <c r="O23" i="1" s="1"/>
  <c r="K24" i="1"/>
  <c r="O24" i="1" s="1"/>
  <c r="K25" i="1"/>
  <c r="O25" i="1" s="1"/>
  <c r="K26" i="1"/>
  <c r="O26" i="1" s="1"/>
  <c r="K27" i="1"/>
  <c r="O27" i="1" s="1"/>
  <c r="K28" i="1"/>
  <c r="O28" i="1" s="1"/>
  <c r="K29" i="1"/>
  <c r="O29" i="1" s="1"/>
  <c r="K30" i="1"/>
  <c r="O30" i="1" s="1"/>
  <c r="K31" i="1"/>
  <c r="O31" i="1" s="1"/>
  <c r="K32" i="1"/>
  <c r="O32" i="1" s="1"/>
  <c r="K33" i="1"/>
  <c r="O33" i="1" s="1"/>
  <c r="K34" i="1"/>
  <c r="O34" i="1" s="1"/>
  <c r="K35" i="1"/>
  <c r="O35" i="1" s="1"/>
  <c r="K36" i="1"/>
  <c r="O36" i="1" s="1"/>
  <c r="K37" i="1"/>
  <c r="O37" i="1" s="1"/>
  <c r="K38" i="1"/>
  <c r="O38" i="1" s="1"/>
  <c r="K39" i="1"/>
  <c r="O39" i="1" s="1"/>
  <c r="K40" i="1"/>
  <c r="O40" i="1" s="1"/>
  <c r="K41" i="1"/>
  <c r="O41" i="1" s="1"/>
  <c r="K42" i="1"/>
  <c r="O42" i="1" s="1"/>
  <c r="K43" i="1"/>
  <c r="O43" i="1" s="1"/>
  <c r="K44" i="1"/>
  <c r="O44" i="1" s="1"/>
  <c r="K45" i="1"/>
  <c r="O45" i="1" s="1"/>
  <c r="K46" i="1"/>
  <c r="O46" i="1" s="1"/>
  <c r="K47" i="1"/>
  <c r="O47" i="1" s="1"/>
  <c r="K48" i="1"/>
  <c r="O48" i="1" s="1"/>
  <c r="K49" i="1"/>
  <c r="O49" i="1" s="1"/>
  <c r="K50" i="1"/>
  <c r="O50" i="1" s="1"/>
  <c r="K51" i="1"/>
  <c r="O51" i="1" s="1"/>
  <c r="K52" i="1"/>
  <c r="O52" i="1" s="1"/>
  <c r="K53" i="1"/>
  <c r="O53" i="1" s="1"/>
  <c r="K54" i="1"/>
  <c r="O54" i="1" s="1"/>
  <c r="K55" i="1"/>
  <c r="O55" i="1" s="1"/>
  <c r="K56" i="1"/>
  <c r="O56" i="1" s="1"/>
  <c r="K57" i="1"/>
  <c r="O57" i="1" s="1"/>
  <c r="K58" i="1"/>
  <c r="O58" i="1" s="1"/>
  <c r="K59" i="1"/>
  <c r="O59" i="1" s="1"/>
  <c r="K60" i="1"/>
  <c r="O60" i="1" s="1"/>
  <c r="K61" i="1"/>
  <c r="O61" i="1" s="1"/>
  <c r="K62" i="1"/>
  <c r="O62" i="1" s="1"/>
  <c r="K63" i="1"/>
  <c r="O63" i="1" s="1"/>
  <c r="K64" i="1"/>
  <c r="O64" i="1" s="1"/>
  <c r="K65" i="1"/>
  <c r="O65" i="1" s="1"/>
  <c r="K66" i="1"/>
  <c r="O66" i="1" s="1"/>
  <c r="K67" i="1"/>
  <c r="O67" i="1" s="1"/>
  <c r="K68" i="1"/>
  <c r="O68" i="1" s="1"/>
  <c r="K69" i="1"/>
  <c r="O69" i="1" s="1"/>
  <c r="K70" i="1"/>
  <c r="O70" i="1" s="1"/>
  <c r="K71" i="1"/>
  <c r="O71" i="1" s="1"/>
  <c r="K72" i="1"/>
  <c r="O72" i="1" s="1"/>
  <c r="K73" i="1"/>
  <c r="O73" i="1" s="1"/>
  <c r="K74" i="1"/>
  <c r="O74" i="1" s="1"/>
  <c r="K75" i="1"/>
  <c r="O75" i="1" s="1"/>
  <c r="K76" i="1"/>
  <c r="O76" i="1" s="1"/>
  <c r="K77" i="1"/>
  <c r="O77" i="1" s="1"/>
  <c r="K78" i="1"/>
  <c r="O78" i="1" s="1"/>
  <c r="K79" i="1"/>
  <c r="O79" i="1" s="1"/>
  <c r="K80" i="1"/>
  <c r="O80" i="1" s="1"/>
  <c r="K81" i="1"/>
  <c r="O81" i="1" s="1"/>
  <c r="K82" i="1"/>
  <c r="O82" i="1" s="1"/>
  <c r="K83" i="1"/>
  <c r="O83" i="1" s="1"/>
  <c r="K84" i="1"/>
  <c r="O84" i="1" s="1"/>
  <c r="K85" i="1"/>
  <c r="O85" i="1" s="1"/>
  <c r="K86" i="1"/>
  <c r="O86" i="1" s="1"/>
  <c r="K87" i="1"/>
  <c r="O87" i="1" s="1"/>
  <c r="K88" i="1"/>
  <c r="O88" i="1" s="1"/>
  <c r="K89" i="1"/>
  <c r="O89" i="1" s="1"/>
  <c r="K90" i="1"/>
  <c r="O90" i="1" s="1"/>
  <c r="K91" i="1"/>
  <c r="O91" i="1" s="1"/>
  <c r="K92" i="1"/>
  <c r="O92" i="1" s="1"/>
  <c r="K93" i="1"/>
  <c r="O93" i="1" s="1"/>
  <c r="K94" i="1"/>
  <c r="O94" i="1" s="1"/>
  <c r="K95" i="1"/>
  <c r="O95" i="1" s="1"/>
  <c r="K96" i="1"/>
  <c r="O96" i="1" s="1"/>
  <c r="K97" i="1"/>
  <c r="O97" i="1" s="1"/>
  <c r="K98" i="1"/>
  <c r="O98" i="1" s="1"/>
  <c r="K99" i="1"/>
  <c r="O99" i="1" s="1"/>
  <c r="K100" i="1"/>
  <c r="O100" i="1" s="1"/>
  <c r="K101" i="1"/>
  <c r="O101" i="1" s="1"/>
  <c r="K102" i="1"/>
  <c r="O102" i="1" s="1"/>
  <c r="K103" i="1"/>
  <c r="O103" i="1" s="1"/>
  <c r="K104" i="1"/>
  <c r="O104" i="1" s="1"/>
  <c r="K105" i="1"/>
  <c r="O105" i="1" s="1"/>
  <c r="K106" i="1"/>
  <c r="O106" i="1" s="1"/>
  <c r="K107" i="1"/>
  <c r="O107" i="1" s="1"/>
  <c r="K108" i="1"/>
  <c r="O108" i="1" s="1"/>
  <c r="K109" i="1"/>
  <c r="O109" i="1" s="1"/>
  <c r="K110" i="1"/>
  <c r="O110" i="1" s="1"/>
  <c r="K111" i="1"/>
  <c r="O111" i="1" s="1"/>
  <c r="K112" i="1"/>
  <c r="O112" i="1" s="1"/>
  <c r="K113" i="1"/>
  <c r="O113" i="1" s="1"/>
  <c r="K114" i="1"/>
  <c r="O114" i="1" s="1"/>
  <c r="K115" i="1"/>
  <c r="O115" i="1" s="1"/>
  <c r="K116" i="1"/>
  <c r="O116" i="1" s="1"/>
  <c r="K117" i="1"/>
  <c r="O117" i="1" s="1"/>
  <c r="K118" i="1"/>
  <c r="O118" i="1" s="1"/>
  <c r="K119" i="1"/>
  <c r="O119" i="1" s="1"/>
  <c r="K120" i="1"/>
  <c r="O120" i="1" s="1"/>
  <c r="K121" i="1"/>
  <c r="O121" i="1" s="1"/>
  <c r="K122" i="1"/>
  <c r="O122" i="1" s="1"/>
  <c r="K123" i="1"/>
  <c r="O123" i="1" s="1"/>
  <c r="K124" i="1"/>
  <c r="O124" i="1" s="1"/>
  <c r="K125" i="1"/>
  <c r="O125" i="1" s="1"/>
  <c r="K126" i="1"/>
  <c r="O126" i="1" s="1"/>
  <c r="K127" i="1"/>
  <c r="O127" i="1" s="1"/>
  <c r="K128" i="1"/>
  <c r="O128" i="1" s="1"/>
  <c r="K129" i="1"/>
  <c r="O129" i="1" s="1"/>
  <c r="K130" i="1"/>
  <c r="O130" i="1" s="1"/>
  <c r="K131" i="1"/>
  <c r="O131" i="1" s="1"/>
  <c r="K132" i="1"/>
  <c r="O132" i="1" s="1"/>
  <c r="K133" i="1"/>
  <c r="O133" i="1" s="1"/>
  <c r="K134" i="1"/>
  <c r="O134" i="1" s="1"/>
  <c r="K135" i="1"/>
  <c r="O135" i="1" s="1"/>
  <c r="K136" i="1"/>
  <c r="O136" i="1" s="1"/>
  <c r="K137" i="1"/>
  <c r="O137" i="1" s="1"/>
  <c r="K138" i="1"/>
  <c r="O138" i="1" s="1"/>
  <c r="K139" i="1"/>
  <c r="O139" i="1" s="1"/>
  <c r="K140" i="1"/>
  <c r="O140" i="1" s="1"/>
  <c r="K141" i="1"/>
  <c r="O141" i="1" s="1"/>
  <c r="K142" i="1"/>
  <c r="O142" i="1" s="1"/>
  <c r="K143" i="1"/>
  <c r="O143" i="1" s="1"/>
  <c r="K144" i="1"/>
  <c r="O144" i="1" s="1"/>
  <c r="K145" i="1"/>
  <c r="O145" i="1" s="1"/>
  <c r="K146" i="1"/>
  <c r="O146" i="1" s="1"/>
  <c r="K147" i="1"/>
  <c r="O147" i="1" s="1"/>
  <c r="K148" i="1"/>
  <c r="O148" i="1" s="1"/>
  <c r="K149" i="1"/>
  <c r="O149" i="1" s="1"/>
  <c r="K150" i="1"/>
  <c r="O150" i="1" s="1"/>
  <c r="K151" i="1"/>
  <c r="O151" i="1" s="1"/>
  <c r="K152" i="1"/>
  <c r="O152" i="1" s="1"/>
  <c r="K153" i="1"/>
  <c r="O153" i="1" s="1"/>
  <c r="K154" i="1"/>
  <c r="O154" i="1" s="1"/>
  <c r="K155" i="1"/>
  <c r="O155" i="1" s="1"/>
  <c r="K156" i="1"/>
  <c r="O156" i="1" s="1"/>
  <c r="K157" i="1"/>
  <c r="O157" i="1" s="1"/>
  <c r="K158" i="1"/>
  <c r="O158" i="1" s="1"/>
  <c r="K159" i="1"/>
  <c r="O159" i="1" s="1"/>
  <c r="K160" i="1"/>
  <c r="O160" i="1" s="1"/>
  <c r="K161" i="1"/>
  <c r="O161" i="1" s="1"/>
  <c r="K162" i="1"/>
  <c r="O162" i="1" s="1"/>
  <c r="K163" i="1"/>
  <c r="O163" i="1" s="1"/>
  <c r="K164" i="1"/>
  <c r="O164" i="1" s="1"/>
  <c r="K165" i="1"/>
  <c r="O165" i="1" s="1"/>
  <c r="K166" i="1"/>
  <c r="O166" i="1" s="1"/>
  <c r="K167" i="1"/>
  <c r="O167" i="1" s="1"/>
  <c r="K168" i="1"/>
  <c r="O168" i="1" s="1"/>
  <c r="K169" i="1"/>
  <c r="O169" i="1" s="1"/>
  <c r="K170" i="1"/>
  <c r="O170" i="1" s="1"/>
  <c r="K171" i="1"/>
  <c r="O171" i="1" s="1"/>
  <c r="K172" i="1"/>
  <c r="O172" i="1" s="1"/>
  <c r="K173" i="1"/>
  <c r="O173" i="1" s="1"/>
  <c r="K174" i="1"/>
  <c r="O174" i="1" s="1"/>
  <c r="K175" i="1"/>
  <c r="O175" i="1" s="1"/>
  <c r="K176" i="1"/>
  <c r="O176" i="1" s="1"/>
  <c r="K177" i="1"/>
  <c r="O177" i="1" s="1"/>
  <c r="K178" i="1"/>
  <c r="O178" i="1" s="1"/>
  <c r="K179" i="1"/>
  <c r="O179" i="1" s="1"/>
  <c r="K180" i="1"/>
  <c r="O180" i="1" s="1"/>
  <c r="K181" i="1"/>
  <c r="O181" i="1" s="1"/>
  <c r="K182" i="1"/>
  <c r="O182" i="1" s="1"/>
  <c r="K183" i="1"/>
  <c r="O183" i="1" s="1"/>
  <c r="K184" i="1"/>
  <c r="O184" i="1" s="1"/>
  <c r="K185" i="1"/>
  <c r="O185" i="1" s="1"/>
  <c r="K186" i="1"/>
  <c r="O186" i="1" s="1"/>
  <c r="K187" i="1"/>
  <c r="O187" i="1" s="1"/>
  <c r="K188" i="1"/>
  <c r="O188" i="1" s="1"/>
  <c r="K189" i="1"/>
  <c r="O189" i="1" s="1"/>
  <c r="K190" i="1"/>
  <c r="O190" i="1" s="1"/>
  <c r="K191" i="1"/>
  <c r="O191" i="1" s="1"/>
  <c r="K192" i="1"/>
  <c r="O192" i="1" s="1"/>
  <c r="K193" i="1"/>
  <c r="O193" i="1" s="1"/>
  <c r="K194" i="1"/>
  <c r="O194" i="1" s="1"/>
  <c r="K195" i="1"/>
  <c r="O195" i="1" s="1"/>
  <c r="K196" i="1"/>
  <c r="O196" i="1" s="1"/>
  <c r="K197" i="1"/>
  <c r="O197" i="1" s="1"/>
  <c r="K198" i="1"/>
  <c r="O198" i="1" s="1"/>
  <c r="K199" i="1"/>
  <c r="O199" i="1" s="1"/>
  <c r="K200" i="1"/>
  <c r="O200" i="1" s="1"/>
  <c r="K201" i="1"/>
  <c r="O201" i="1" s="1"/>
  <c r="K202" i="1"/>
  <c r="O202" i="1" s="1"/>
  <c r="K203" i="1"/>
  <c r="O203" i="1" s="1"/>
  <c r="K204" i="1"/>
  <c r="O204" i="1" s="1"/>
  <c r="K205" i="1"/>
  <c r="O205" i="1" s="1"/>
  <c r="K206" i="1"/>
  <c r="O206" i="1" s="1"/>
  <c r="K207" i="1"/>
  <c r="O207" i="1" s="1"/>
  <c r="K208" i="1"/>
  <c r="O208" i="1" s="1"/>
  <c r="K209" i="1"/>
  <c r="O209" i="1" s="1"/>
  <c r="K210" i="1"/>
  <c r="O210" i="1" s="1"/>
  <c r="K211" i="1"/>
  <c r="O211" i="1" s="1"/>
  <c r="K212" i="1"/>
  <c r="O212" i="1" s="1"/>
  <c r="K213" i="1"/>
  <c r="O213" i="1" s="1"/>
  <c r="K214" i="1"/>
  <c r="O214" i="1" s="1"/>
  <c r="K215" i="1"/>
  <c r="O215" i="1" s="1"/>
  <c r="K216" i="1"/>
  <c r="O216" i="1" s="1"/>
  <c r="K217" i="1"/>
  <c r="O217" i="1" s="1"/>
  <c r="K218" i="1"/>
  <c r="O218" i="1" s="1"/>
  <c r="K219" i="1"/>
  <c r="O219" i="1" s="1"/>
  <c r="K220" i="1"/>
  <c r="O220" i="1" s="1"/>
  <c r="K221" i="1"/>
  <c r="O221" i="1" s="1"/>
  <c r="K222" i="1"/>
  <c r="O222" i="1" s="1"/>
  <c r="K223" i="1"/>
  <c r="O223" i="1" s="1"/>
  <c r="K224" i="1"/>
  <c r="O224" i="1" s="1"/>
  <c r="K225" i="1"/>
  <c r="O225" i="1" s="1"/>
  <c r="K226" i="1"/>
  <c r="O226" i="1" s="1"/>
  <c r="K227" i="1"/>
  <c r="O227" i="1" s="1"/>
  <c r="K228" i="1"/>
  <c r="O228" i="1" s="1"/>
  <c r="K229" i="1"/>
  <c r="O229" i="1" s="1"/>
  <c r="K230" i="1"/>
  <c r="O230" i="1" s="1"/>
  <c r="K231" i="1"/>
  <c r="O231" i="1" s="1"/>
  <c r="K232" i="1"/>
  <c r="O232" i="1" s="1"/>
  <c r="K233" i="1"/>
  <c r="O233" i="1" s="1"/>
  <c r="K234" i="1"/>
  <c r="O234" i="1" s="1"/>
  <c r="K235" i="1"/>
  <c r="O235" i="1" s="1"/>
  <c r="K236" i="1"/>
  <c r="O236" i="1" s="1"/>
  <c r="K237" i="1"/>
  <c r="O237" i="1" s="1"/>
  <c r="K238" i="1"/>
  <c r="O238" i="1" s="1"/>
  <c r="K239" i="1"/>
  <c r="O239" i="1" s="1"/>
  <c r="K240" i="1"/>
  <c r="O240" i="1" s="1"/>
  <c r="K241" i="1"/>
  <c r="O241" i="1" s="1"/>
  <c r="K242" i="1"/>
  <c r="O242" i="1" s="1"/>
  <c r="K243" i="1"/>
  <c r="O243" i="1" s="1"/>
  <c r="K244" i="1"/>
  <c r="O244" i="1" s="1"/>
  <c r="K245" i="1"/>
  <c r="O245" i="1" s="1"/>
  <c r="K246" i="1"/>
  <c r="O246" i="1" s="1"/>
  <c r="K247" i="1"/>
  <c r="O247" i="1" s="1"/>
  <c r="K248" i="1"/>
  <c r="O248" i="1" s="1"/>
  <c r="K249" i="1"/>
  <c r="O249" i="1" s="1"/>
  <c r="K250" i="1"/>
  <c r="O250" i="1" s="1"/>
  <c r="K251" i="1"/>
  <c r="O251" i="1" s="1"/>
  <c r="K252" i="1"/>
  <c r="O252" i="1" s="1"/>
  <c r="K253" i="1"/>
  <c r="O253" i="1" s="1"/>
  <c r="K254" i="1"/>
  <c r="O254" i="1" s="1"/>
  <c r="K255" i="1"/>
  <c r="O255" i="1" s="1"/>
  <c r="K256" i="1"/>
  <c r="O256" i="1" s="1"/>
  <c r="K257" i="1"/>
  <c r="O257" i="1" s="1"/>
  <c r="K258" i="1"/>
  <c r="O258" i="1" s="1"/>
  <c r="K259" i="1"/>
  <c r="O259" i="1" s="1"/>
  <c r="K260" i="1"/>
  <c r="O260" i="1" s="1"/>
  <c r="K261" i="1"/>
  <c r="O261" i="1" s="1"/>
  <c r="K262" i="1"/>
  <c r="O262" i="1" s="1"/>
  <c r="K263" i="1"/>
  <c r="O263" i="1" s="1"/>
  <c r="K264" i="1"/>
  <c r="O264" i="1" s="1"/>
  <c r="K265" i="1"/>
  <c r="O265" i="1" s="1"/>
  <c r="K266" i="1"/>
  <c r="O266" i="1" s="1"/>
  <c r="K267" i="1"/>
  <c r="O267" i="1" s="1"/>
  <c r="K268" i="1"/>
  <c r="O268" i="1" s="1"/>
  <c r="K269" i="1"/>
  <c r="O269" i="1" s="1"/>
  <c r="K270" i="1"/>
  <c r="O270" i="1" s="1"/>
  <c r="K271" i="1"/>
  <c r="O271" i="1" s="1"/>
  <c r="K272" i="1"/>
  <c r="O272" i="1" s="1"/>
  <c r="K273" i="1"/>
  <c r="O273" i="1" s="1"/>
  <c r="K274" i="1"/>
  <c r="O274" i="1" s="1"/>
  <c r="K275" i="1"/>
  <c r="O275" i="1" s="1"/>
  <c r="K276" i="1"/>
  <c r="O276" i="1" s="1"/>
  <c r="K277" i="1"/>
  <c r="O277" i="1" s="1"/>
  <c r="K278" i="1"/>
  <c r="O278" i="1" s="1"/>
  <c r="K279" i="1"/>
  <c r="O279" i="1" s="1"/>
  <c r="K280" i="1"/>
  <c r="O280" i="1" s="1"/>
  <c r="K281" i="1"/>
  <c r="O281" i="1" s="1"/>
  <c r="K282" i="1"/>
  <c r="O282" i="1" s="1"/>
  <c r="K283" i="1"/>
  <c r="O283" i="1" s="1"/>
  <c r="K284" i="1"/>
  <c r="O284" i="1" s="1"/>
  <c r="K285" i="1"/>
  <c r="O285" i="1" s="1"/>
  <c r="K286" i="1"/>
  <c r="O286" i="1" s="1"/>
  <c r="K287" i="1"/>
  <c r="O287" i="1" s="1"/>
  <c r="K288" i="1"/>
  <c r="O288" i="1" s="1"/>
  <c r="K289" i="1"/>
  <c r="O289" i="1" s="1"/>
  <c r="K290" i="1"/>
  <c r="O290" i="1" s="1"/>
  <c r="K291" i="1"/>
  <c r="O291" i="1" s="1"/>
  <c r="K292" i="1"/>
  <c r="O292" i="1" s="1"/>
  <c r="K293" i="1"/>
  <c r="O293" i="1" s="1"/>
  <c r="K294" i="1"/>
  <c r="O294" i="1" s="1"/>
  <c r="K295" i="1"/>
  <c r="O295" i="1" s="1"/>
  <c r="K296" i="1"/>
  <c r="O296" i="1" s="1"/>
  <c r="K297" i="1"/>
  <c r="O297" i="1" s="1"/>
  <c r="K298" i="1"/>
  <c r="O298" i="1" s="1"/>
  <c r="K299" i="1"/>
  <c r="O299" i="1" s="1"/>
  <c r="K300" i="1"/>
  <c r="O300" i="1" s="1"/>
  <c r="K301" i="1"/>
  <c r="O301" i="1" s="1"/>
  <c r="K2" i="1"/>
  <c r="O2" i="1" s="1"/>
  <c r="J3" i="1"/>
  <c r="N3" i="1" s="1"/>
  <c r="R3" i="1" s="1"/>
  <c r="S3" i="1" s="1"/>
  <c r="J4" i="1"/>
  <c r="N4" i="1" s="1"/>
  <c r="R4" i="1" s="1"/>
  <c r="S4" i="1" s="1"/>
  <c r="J5" i="1"/>
  <c r="N5" i="1" s="1"/>
  <c r="R5" i="1" s="1"/>
  <c r="S5" i="1" s="1"/>
  <c r="J6" i="1"/>
  <c r="N6" i="1" s="1"/>
  <c r="R6" i="1" s="1"/>
  <c r="S6" i="1" s="1"/>
  <c r="J7" i="1"/>
  <c r="N7" i="1" s="1"/>
  <c r="R7" i="1" s="1"/>
  <c r="S7" i="1" s="1"/>
  <c r="J8" i="1"/>
  <c r="N8" i="1" s="1"/>
  <c r="R8" i="1" s="1"/>
  <c r="S8" i="1" s="1"/>
  <c r="J9" i="1"/>
  <c r="N9" i="1" s="1"/>
  <c r="R9" i="1" s="1"/>
  <c r="S9" i="1" s="1"/>
  <c r="J10" i="1"/>
  <c r="N10" i="1" s="1"/>
  <c r="R10" i="1" s="1"/>
  <c r="S10" i="1" s="1"/>
  <c r="J11" i="1"/>
  <c r="N11" i="1" s="1"/>
  <c r="R11" i="1" s="1"/>
  <c r="S11" i="1" s="1"/>
  <c r="J12" i="1"/>
  <c r="N12" i="1" s="1"/>
  <c r="R12" i="1" s="1"/>
  <c r="S12" i="1" s="1"/>
  <c r="J13" i="1"/>
  <c r="N13" i="1" s="1"/>
  <c r="R13" i="1" s="1"/>
  <c r="S13" i="1" s="1"/>
  <c r="J14" i="1"/>
  <c r="N14" i="1" s="1"/>
  <c r="R14" i="1" s="1"/>
  <c r="S14" i="1" s="1"/>
  <c r="J15" i="1"/>
  <c r="N15" i="1" s="1"/>
  <c r="R15" i="1" s="1"/>
  <c r="S15" i="1" s="1"/>
  <c r="J16" i="1"/>
  <c r="N16" i="1" s="1"/>
  <c r="R16" i="1" s="1"/>
  <c r="S16" i="1" s="1"/>
  <c r="J17" i="1"/>
  <c r="N17" i="1" s="1"/>
  <c r="R17" i="1" s="1"/>
  <c r="S17" i="1" s="1"/>
  <c r="J18" i="1"/>
  <c r="N18" i="1" s="1"/>
  <c r="R18" i="1" s="1"/>
  <c r="S18" i="1" s="1"/>
  <c r="J19" i="1"/>
  <c r="N19" i="1" s="1"/>
  <c r="R19" i="1" s="1"/>
  <c r="S19" i="1" s="1"/>
  <c r="J20" i="1"/>
  <c r="N20" i="1" s="1"/>
  <c r="R20" i="1" s="1"/>
  <c r="S20" i="1" s="1"/>
  <c r="J21" i="1"/>
  <c r="N21" i="1" s="1"/>
  <c r="R21" i="1" s="1"/>
  <c r="S21" i="1" s="1"/>
  <c r="J22" i="1"/>
  <c r="N22" i="1" s="1"/>
  <c r="R22" i="1" s="1"/>
  <c r="S22" i="1" s="1"/>
  <c r="J23" i="1"/>
  <c r="N23" i="1" s="1"/>
  <c r="R23" i="1" s="1"/>
  <c r="S23" i="1" s="1"/>
  <c r="J24" i="1"/>
  <c r="N24" i="1" s="1"/>
  <c r="R24" i="1" s="1"/>
  <c r="S24" i="1" s="1"/>
  <c r="J25" i="1"/>
  <c r="N25" i="1" s="1"/>
  <c r="R25" i="1" s="1"/>
  <c r="S25" i="1" s="1"/>
  <c r="J26" i="1"/>
  <c r="N26" i="1" s="1"/>
  <c r="R26" i="1" s="1"/>
  <c r="S26" i="1" s="1"/>
  <c r="J27" i="1"/>
  <c r="N27" i="1" s="1"/>
  <c r="R27" i="1" s="1"/>
  <c r="S27" i="1" s="1"/>
  <c r="J28" i="1"/>
  <c r="N28" i="1" s="1"/>
  <c r="R28" i="1" s="1"/>
  <c r="S28" i="1" s="1"/>
  <c r="J29" i="1"/>
  <c r="N29" i="1" s="1"/>
  <c r="R29" i="1" s="1"/>
  <c r="S29" i="1" s="1"/>
  <c r="J30" i="1"/>
  <c r="N30" i="1" s="1"/>
  <c r="R30" i="1" s="1"/>
  <c r="S30" i="1" s="1"/>
  <c r="J31" i="1"/>
  <c r="N31" i="1" s="1"/>
  <c r="R31" i="1" s="1"/>
  <c r="S31" i="1" s="1"/>
  <c r="J32" i="1"/>
  <c r="N32" i="1" s="1"/>
  <c r="R32" i="1" s="1"/>
  <c r="S32" i="1" s="1"/>
  <c r="J33" i="1"/>
  <c r="N33" i="1" s="1"/>
  <c r="R33" i="1" s="1"/>
  <c r="S33" i="1" s="1"/>
  <c r="J34" i="1"/>
  <c r="N34" i="1" s="1"/>
  <c r="R34" i="1" s="1"/>
  <c r="S34" i="1" s="1"/>
  <c r="J35" i="1"/>
  <c r="N35" i="1" s="1"/>
  <c r="R35" i="1" s="1"/>
  <c r="S35" i="1" s="1"/>
  <c r="J36" i="1"/>
  <c r="N36" i="1" s="1"/>
  <c r="R36" i="1" s="1"/>
  <c r="S36" i="1" s="1"/>
  <c r="J37" i="1"/>
  <c r="N37" i="1" s="1"/>
  <c r="R37" i="1" s="1"/>
  <c r="S37" i="1" s="1"/>
  <c r="J38" i="1"/>
  <c r="N38" i="1" s="1"/>
  <c r="R38" i="1" s="1"/>
  <c r="S38" i="1" s="1"/>
  <c r="J39" i="1"/>
  <c r="N39" i="1" s="1"/>
  <c r="R39" i="1" s="1"/>
  <c r="S39" i="1" s="1"/>
  <c r="J40" i="1"/>
  <c r="N40" i="1" s="1"/>
  <c r="R40" i="1" s="1"/>
  <c r="S40" i="1" s="1"/>
  <c r="J41" i="1"/>
  <c r="N41" i="1" s="1"/>
  <c r="R41" i="1" s="1"/>
  <c r="S41" i="1" s="1"/>
  <c r="J42" i="1"/>
  <c r="N42" i="1" s="1"/>
  <c r="R42" i="1" s="1"/>
  <c r="S42" i="1" s="1"/>
  <c r="J43" i="1"/>
  <c r="N43" i="1" s="1"/>
  <c r="R43" i="1" s="1"/>
  <c r="S43" i="1" s="1"/>
  <c r="J44" i="1"/>
  <c r="N44" i="1" s="1"/>
  <c r="R44" i="1" s="1"/>
  <c r="S44" i="1" s="1"/>
  <c r="J45" i="1"/>
  <c r="N45" i="1" s="1"/>
  <c r="R45" i="1" s="1"/>
  <c r="S45" i="1" s="1"/>
  <c r="J46" i="1"/>
  <c r="N46" i="1" s="1"/>
  <c r="R46" i="1" s="1"/>
  <c r="S46" i="1" s="1"/>
  <c r="J47" i="1"/>
  <c r="N47" i="1" s="1"/>
  <c r="R47" i="1" s="1"/>
  <c r="S47" i="1" s="1"/>
  <c r="J48" i="1"/>
  <c r="N48" i="1" s="1"/>
  <c r="R48" i="1" s="1"/>
  <c r="S48" i="1" s="1"/>
  <c r="J49" i="1"/>
  <c r="N49" i="1" s="1"/>
  <c r="R49" i="1" s="1"/>
  <c r="S49" i="1" s="1"/>
  <c r="J50" i="1"/>
  <c r="N50" i="1" s="1"/>
  <c r="R50" i="1" s="1"/>
  <c r="S50" i="1" s="1"/>
  <c r="J51" i="1"/>
  <c r="N51" i="1" s="1"/>
  <c r="R51" i="1" s="1"/>
  <c r="S51" i="1" s="1"/>
  <c r="J52" i="1"/>
  <c r="N52" i="1" s="1"/>
  <c r="R52" i="1" s="1"/>
  <c r="S52" i="1" s="1"/>
  <c r="J53" i="1"/>
  <c r="N53" i="1" s="1"/>
  <c r="R53" i="1" s="1"/>
  <c r="S53" i="1" s="1"/>
  <c r="J54" i="1"/>
  <c r="N54" i="1" s="1"/>
  <c r="R54" i="1" s="1"/>
  <c r="S54" i="1" s="1"/>
  <c r="J55" i="1"/>
  <c r="N55" i="1" s="1"/>
  <c r="R55" i="1" s="1"/>
  <c r="S55" i="1" s="1"/>
  <c r="J56" i="1"/>
  <c r="N56" i="1" s="1"/>
  <c r="R56" i="1" s="1"/>
  <c r="S56" i="1" s="1"/>
  <c r="J57" i="1"/>
  <c r="N57" i="1" s="1"/>
  <c r="R57" i="1" s="1"/>
  <c r="S57" i="1" s="1"/>
  <c r="J58" i="1"/>
  <c r="N58" i="1" s="1"/>
  <c r="R58" i="1" s="1"/>
  <c r="S58" i="1" s="1"/>
  <c r="J59" i="1"/>
  <c r="N59" i="1" s="1"/>
  <c r="R59" i="1" s="1"/>
  <c r="S59" i="1" s="1"/>
  <c r="J60" i="1"/>
  <c r="N60" i="1" s="1"/>
  <c r="R60" i="1" s="1"/>
  <c r="S60" i="1" s="1"/>
  <c r="J61" i="1"/>
  <c r="N61" i="1" s="1"/>
  <c r="R61" i="1" s="1"/>
  <c r="S61" i="1" s="1"/>
  <c r="J62" i="1"/>
  <c r="N62" i="1" s="1"/>
  <c r="R62" i="1" s="1"/>
  <c r="S62" i="1" s="1"/>
  <c r="J63" i="1"/>
  <c r="N63" i="1" s="1"/>
  <c r="R63" i="1" s="1"/>
  <c r="S63" i="1" s="1"/>
  <c r="J64" i="1"/>
  <c r="N64" i="1" s="1"/>
  <c r="R64" i="1" s="1"/>
  <c r="S64" i="1" s="1"/>
  <c r="J65" i="1"/>
  <c r="N65" i="1" s="1"/>
  <c r="R65" i="1" s="1"/>
  <c r="S65" i="1" s="1"/>
  <c r="J66" i="1"/>
  <c r="N66" i="1" s="1"/>
  <c r="R66" i="1" s="1"/>
  <c r="S66" i="1" s="1"/>
  <c r="J67" i="1"/>
  <c r="N67" i="1" s="1"/>
  <c r="R67" i="1" s="1"/>
  <c r="S67" i="1" s="1"/>
  <c r="J68" i="1"/>
  <c r="N68" i="1" s="1"/>
  <c r="R68" i="1" s="1"/>
  <c r="S68" i="1" s="1"/>
  <c r="J69" i="1"/>
  <c r="N69" i="1" s="1"/>
  <c r="R69" i="1" s="1"/>
  <c r="S69" i="1" s="1"/>
  <c r="J70" i="1"/>
  <c r="N70" i="1" s="1"/>
  <c r="R70" i="1" s="1"/>
  <c r="S70" i="1" s="1"/>
  <c r="J71" i="1"/>
  <c r="N71" i="1" s="1"/>
  <c r="R71" i="1" s="1"/>
  <c r="S71" i="1" s="1"/>
  <c r="J72" i="1"/>
  <c r="N72" i="1" s="1"/>
  <c r="R72" i="1" s="1"/>
  <c r="S72" i="1" s="1"/>
  <c r="J73" i="1"/>
  <c r="N73" i="1" s="1"/>
  <c r="R73" i="1" s="1"/>
  <c r="S73" i="1" s="1"/>
  <c r="J74" i="1"/>
  <c r="N74" i="1" s="1"/>
  <c r="R74" i="1" s="1"/>
  <c r="S74" i="1" s="1"/>
  <c r="J75" i="1"/>
  <c r="N75" i="1" s="1"/>
  <c r="R75" i="1" s="1"/>
  <c r="S75" i="1" s="1"/>
  <c r="J76" i="1"/>
  <c r="N76" i="1" s="1"/>
  <c r="R76" i="1" s="1"/>
  <c r="S76" i="1" s="1"/>
  <c r="J77" i="1"/>
  <c r="N77" i="1" s="1"/>
  <c r="R77" i="1" s="1"/>
  <c r="S77" i="1" s="1"/>
  <c r="J78" i="1"/>
  <c r="N78" i="1" s="1"/>
  <c r="R78" i="1" s="1"/>
  <c r="S78" i="1" s="1"/>
  <c r="J79" i="1"/>
  <c r="N79" i="1" s="1"/>
  <c r="R79" i="1" s="1"/>
  <c r="S79" i="1" s="1"/>
  <c r="J80" i="1"/>
  <c r="N80" i="1" s="1"/>
  <c r="R80" i="1" s="1"/>
  <c r="S80" i="1" s="1"/>
  <c r="J81" i="1"/>
  <c r="N81" i="1" s="1"/>
  <c r="R81" i="1" s="1"/>
  <c r="S81" i="1" s="1"/>
  <c r="J82" i="1"/>
  <c r="N82" i="1" s="1"/>
  <c r="R82" i="1" s="1"/>
  <c r="S82" i="1" s="1"/>
  <c r="J83" i="1"/>
  <c r="N83" i="1" s="1"/>
  <c r="R83" i="1" s="1"/>
  <c r="S83" i="1" s="1"/>
  <c r="J84" i="1"/>
  <c r="N84" i="1" s="1"/>
  <c r="R84" i="1" s="1"/>
  <c r="S84" i="1" s="1"/>
  <c r="J85" i="1"/>
  <c r="N85" i="1" s="1"/>
  <c r="R85" i="1" s="1"/>
  <c r="S85" i="1" s="1"/>
  <c r="J86" i="1"/>
  <c r="N86" i="1" s="1"/>
  <c r="R86" i="1" s="1"/>
  <c r="S86" i="1" s="1"/>
  <c r="J87" i="1"/>
  <c r="N87" i="1" s="1"/>
  <c r="R87" i="1" s="1"/>
  <c r="S87" i="1" s="1"/>
  <c r="J88" i="1"/>
  <c r="N88" i="1" s="1"/>
  <c r="R88" i="1" s="1"/>
  <c r="S88" i="1" s="1"/>
  <c r="J89" i="1"/>
  <c r="N89" i="1" s="1"/>
  <c r="R89" i="1" s="1"/>
  <c r="S89" i="1" s="1"/>
  <c r="J90" i="1"/>
  <c r="N90" i="1" s="1"/>
  <c r="R90" i="1" s="1"/>
  <c r="S90" i="1" s="1"/>
  <c r="J91" i="1"/>
  <c r="N91" i="1" s="1"/>
  <c r="R91" i="1" s="1"/>
  <c r="S91" i="1" s="1"/>
  <c r="J92" i="1"/>
  <c r="N92" i="1" s="1"/>
  <c r="R92" i="1" s="1"/>
  <c r="S92" i="1" s="1"/>
  <c r="J93" i="1"/>
  <c r="N93" i="1" s="1"/>
  <c r="R93" i="1" s="1"/>
  <c r="S93" i="1" s="1"/>
  <c r="J94" i="1"/>
  <c r="N94" i="1" s="1"/>
  <c r="R94" i="1" s="1"/>
  <c r="S94" i="1" s="1"/>
  <c r="J95" i="1"/>
  <c r="N95" i="1" s="1"/>
  <c r="R95" i="1" s="1"/>
  <c r="S95" i="1" s="1"/>
  <c r="J96" i="1"/>
  <c r="N96" i="1" s="1"/>
  <c r="R96" i="1" s="1"/>
  <c r="S96" i="1" s="1"/>
  <c r="J97" i="1"/>
  <c r="N97" i="1" s="1"/>
  <c r="R97" i="1" s="1"/>
  <c r="S97" i="1" s="1"/>
  <c r="J98" i="1"/>
  <c r="N98" i="1" s="1"/>
  <c r="R98" i="1" s="1"/>
  <c r="S98" i="1" s="1"/>
  <c r="J99" i="1"/>
  <c r="N99" i="1" s="1"/>
  <c r="R99" i="1" s="1"/>
  <c r="S99" i="1" s="1"/>
  <c r="J100" i="1"/>
  <c r="N100" i="1" s="1"/>
  <c r="R100" i="1" s="1"/>
  <c r="S100" i="1" s="1"/>
  <c r="J101" i="1"/>
  <c r="N101" i="1" s="1"/>
  <c r="R101" i="1" s="1"/>
  <c r="S101" i="1" s="1"/>
  <c r="J102" i="1"/>
  <c r="N102" i="1" s="1"/>
  <c r="R102" i="1" s="1"/>
  <c r="S102" i="1" s="1"/>
  <c r="J103" i="1"/>
  <c r="N103" i="1" s="1"/>
  <c r="R103" i="1" s="1"/>
  <c r="S103" i="1" s="1"/>
  <c r="J104" i="1"/>
  <c r="N104" i="1" s="1"/>
  <c r="R104" i="1" s="1"/>
  <c r="S104" i="1" s="1"/>
  <c r="J105" i="1"/>
  <c r="N105" i="1" s="1"/>
  <c r="R105" i="1" s="1"/>
  <c r="S105" i="1" s="1"/>
  <c r="J106" i="1"/>
  <c r="N106" i="1" s="1"/>
  <c r="R106" i="1" s="1"/>
  <c r="S106" i="1" s="1"/>
  <c r="J107" i="1"/>
  <c r="N107" i="1" s="1"/>
  <c r="R107" i="1" s="1"/>
  <c r="S107" i="1" s="1"/>
  <c r="J108" i="1"/>
  <c r="N108" i="1" s="1"/>
  <c r="R108" i="1" s="1"/>
  <c r="S108" i="1" s="1"/>
  <c r="J109" i="1"/>
  <c r="N109" i="1" s="1"/>
  <c r="R109" i="1" s="1"/>
  <c r="S109" i="1" s="1"/>
  <c r="J110" i="1"/>
  <c r="N110" i="1" s="1"/>
  <c r="R110" i="1" s="1"/>
  <c r="S110" i="1" s="1"/>
  <c r="J111" i="1"/>
  <c r="N111" i="1" s="1"/>
  <c r="R111" i="1" s="1"/>
  <c r="S111" i="1" s="1"/>
  <c r="J112" i="1"/>
  <c r="N112" i="1" s="1"/>
  <c r="R112" i="1" s="1"/>
  <c r="S112" i="1" s="1"/>
  <c r="J113" i="1"/>
  <c r="N113" i="1" s="1"/>
  <c r="R113" i="1" s="1"/>
  <c r="S113" i="1" s="1"/>
  <c r="J114" i="1"/>
  <c r="N114" i="1" s="1"/>
  <c r="R114" i="1" s="1"/>
  <c r="S114" i="1" s="1"/>
  <c r="J115" i="1"/>
  <c r="N115" i="1" s="1"/>
  <c r="R115" i="1" s="1"/>
  <c r="S115" i="1" s="1"/>
  <c r="J116" i="1"/>
  <c r="N116" i="1" s="1"/>
  <c r="R116" i="1" s="1"/>
  <c r="S116" i="1" s="1"/>
  <c r="J117" i="1"/>
  <c r="N117" i="1" s="1"/>
  <c r="R117" i="1" s="1"/>
  <c r="S117" i="1" s="1"/>
  <c r="J118" i="1"/>
  <c r="N118" i="1" s="1"/>
  <c r="R118" i="1" s="1"/>
  <c r="S118" i="1" s="1"/>
  <c r="J119" i="1"/>
  <c r="N119" i="1" s="1"/>
  <c r="R119" i="1" s="1"/>
  <c r="S119" i="1" s="1"/>
  <c r="J120" i="1"/>
  <c r="N120" i="1" s="1"/>
  <c r="R120" i="1" s="1"/>
  <c r="S120" i="1" s="1"/>
  <c r="J121" i="1"/>
  <c r="N121" i="1" s="1"/>
  <c r="R121" i="1" s="1"/>
  <c r="S121" i="1" s="1"/>
  <c r="J122" i="1"/>
  <c r="N122" i="1" s="1"/>
  <c r="R122" i="1" s="1"/>
  <c r="S122" i="1" s="1"/>
  <c r="J123" i="1"/>
  <c r="N123" i="1" s="1"/>
  <c r="R123" i="1" s="1"/>
  <c r="S123" i="1" s="1"/>
  <c r="J124" i="1"/>
  <c r="N124" i="1" s="1"/>
  <c r="R124" i="1" s="1"/>
  <c r="S124" i="1" s="1"/>
  <c r="J125" i="1"/>
  <c r="N125" i="1" s="1"/>
  <c r="R125" i="1" s="1"/>
  <c r="S125" i="1" s="1"/>
  <c r="J126" i="1"/>
  <c r="N126" i="1" s="1"/>
  <c r="R126" i="1" s="1"/>
  <c r="S126" i="1" s="1"/>
  <c r="J127" i="1"/>
  <c r="N127" i="1" s="1"/>
  <c r="R127" i="1" s="1"/>
  <c r="S127" i="1" s="1"/>
  <c r="J128" i="1"/>
  <c r="N128" i="1" s="1"/>
  <c r="R128" i="1" s="1"/>
  <c r="S128" i="1" s="1"/>
  <c r="J129" i="1"/>
  <c r="N129" i="1" s="1"/>
  <c r="R129" i="1" s="1"/>
  <c r="S129" i="1" s="1"/>
  <c r="J130" i="1"/>
  <c r="N130" i="1" s="1"/>
  <c r="R130" i="1" s="1"/>
  <c r="S130" i="1" s="1"/>
  <c r="J131" i="1"/>
  <c r="N131" i="1" s="1"/>
  <c r="R131" i="1" s="1"/>
  <c r="S131" i="1" s="1"/>
  <c r="J132" i="1"/>
  <c r="N132" i="1" s="1"/>
  <c r="R132" i="1" s="1"/>
  <c r="S132" i="1" s="1"/>
  <c r="J133" i="1"/>
  <c r="N133" i="1" s="1"/>
  <c r="R133" i="1" s="1"/>
  <c r="S133" i="1" s="1"/>
  <c r="J134" i="1"/>
  <c r="N134" i="1" s="1"/>
  <c r="R134" i="1" s="1"/>
  <c r="S134" i="1" s="1"/>
  <c r="J135" i="1"/>
  <c r="N135" i="1" s="1"/>
  <c r="R135" i="1" s="1"/>
  <c r="S135" i="1" s="1"/>
  <c r="J136" i="1"/>
  <c r="N136" i="1" s="1"/>
  <c r="R136" i="1" s="1"/>
  <c r="S136" i="1" s="1"/>
  <c r="J137" i="1"/>
  <c r="N137" i="1" s="1"/>
  <c r="R137" i="1" s="1"/>
  <c r="S137" i="1" s="1"/>
  <c r="J138" i="1"/>
  <c r="N138" i="1" s="1"/>
  <c r="R138" i="1" s="1"/>
  <c r="S138" i="1" s="1"/>
  <c r="J139" i="1"/>
  <c r="N139" i="1" s="1"/>
  <c r="R139" i="1" s="1"/>
  <c r="S139" i="1" s="1"/>
  <c r="J140" i="1"/>
  <c r="N140" i="1" s="1"/>
  <c r="R140" i="1" s="1"/>
  <c r="S140" i="1" s="1"/>
  <c r="J141" i="1"/>
  <c r="N141" i="1" s="1"/>
  <c r="R141" i="1" s="1"/>
  <c r="S141" i="1" s="1"/>
  <c r="J142" i="1"/>
  <c r="N142" i="1" s="1"/>
  <c r="R142" i="1" s="1"/>
  <c r="S142" i="1" s="1"/>
  <c r="J143" i="1"/>
  <c r="N143" i="1" s="1"/>
  <c r="R143" i="1" s="1"/>
  <c r="S143" i="1" s="1"/>
  <c r="J144" i="1"/>
  <c r="N144" i="1" s="1"/>
  <c r="R144" i="1" s="1"/>
  <c r="S144" i="1" s="1"/>
  <c r="J145" i="1"/>
  <c r="N145" i="1" s="1"/>
  <c r="R145" i="1" s="1"/>
  <c r="S145" i="1" s="1"/>
  <c r="J146" i="1"/>
  <c r="N146" i="1" s="1"/>
  <c r="R146" i="1" s="1"/>
  <c r="S146" i="1" s="1"/>
  <c r="J147" i="1"/>
  <c r="N147" i="1" s="1"/>
  <c r="R147" i="1" s="1"/>
  <c r="S147" i="1" s="1"/>
  <c r="J148" i="1"/>
  <c r="N148" i="1" s="1"/>
  <c r="R148" i="1" s="1"/>
  <c r="S148" i="1" s="1"/>
  <c r="J149" i="1"/>
  <c r="N149" i="1" s="1"/>
  <c r="R149" i="1" s="1"/>
  <c r="S149" i="1" s="1"/>
  <c r="J150" i="1"/>
  <c r="N150" i="1" s="1"/>
  <c r="R150" i="1" s="1"/>
  <c r="S150" i="1" s="1"/>
  <c r="J151" i="1"/>
  <c r="N151" i="1" s="1"/>
  <c r="R151" i="1" s="1"/>
  <c r="S151" i="1" s="1"/>
  <c r="J152" i="1"/>
  <c r="N152" i="1" s="1"/>
  <c r="R152" i="1" s="1"/>
  <c r="S152" i="1" s="1"/>
  <c r="J153" i="1"/>
  <c r="N153" i="1" s="1"/>
  <c r="R153" i="1" s="1"/>
  <c r="S153" i="1" s="1"/>
  <c r="J154" i="1"/>
  <c r="N154" i="1" s="1"/>
  <c r="R154" i="1" s="1"/>
  <c r="S154" i="1" s="1"/>
  <c r="J155" i="1"/>
  <c r="N155" i="1" s="1"/>
  <c r="R155" i="1" s="1"/>
  <c r="S155" i="1" s="1"/>
  <c r="J156" i="1"/>
  <c r="N156" i="1" s="1"/>
  <c r="R156" i="1" s="1"/>
  <c r="S156" i="1" s="1"/>
  <c r="J157" i="1"/>
  <c r="N157" i="1" s="1"/>
  <c r="R157" i="1" s="1"/>
  <c r="S157" i="1" s="1"/>
  <c r="J158" i="1"/>
  <c r="N158" i="1" s="1"/>
  <c r="R158" i="1" s="1"/>
  <c r="S158" i="1" s="1"/>
  <c r="J159" i="1"/>
  <c r="N159" i="1" s="1"/>
  <c r="R159" i="1" s="1"/>
  <c r="S159" i="1" s="1"/>
  <c r="J160" i="1"/>
  <c r="N160" i="1" s="1"/>
  <c r="R160" i="1" s="1"/>
  <c r="S160" i="1" s="1"/>
  <c r="J161" i="1"/>
  <c r="N161" i="1" s="1"/>
  <c r="R161" i="1" s="1"/>
  <c r="S161" i="1" s="1"/>
  <c r="J162" i="1"/>
  <c r="N162" i="1" s="1"/>
  <c r="R162" i="1" s="1"/>
  <c r="S162" i="1" s="1"/>
  <c r="J163" i="1"/>
  <c r="N163" i="1" s="1"/>
  <c r="R163" i="1" s="1"/>
  <c r="S163" i="1" s="1"/>
  <c r="J164" i="1"/>
  <c r="N164" i="1" s="1"/>
  <c r="R164" i="1" s="1"/>
  <c r="S164" i="1" s="1"/>
  <c r="J165" i="1"/>
  <c r="N165" i="1" s="1"/>
  <c r="R165" i="1" s="1"/>
  <c r="S165" i="1" s="1"/>
  <c r="J166" i="1"/>
  <c r="N166" i="1" s="1"/>
  <c r="R166" i="1" s="1"/>
  <c r="S166" i="1" s="1"/>
  <c r="J167" i="1"/>
  <c r="N167" i="1" s="1"/>
  <c r="R167" i="1" s="1"/>
  <c r="S167" i="1" s="1"/>
  <c r="J168" i="1"/>
  <c r="N168" i="1" s="1"/>
  <c r="R168" i="1" s="1"/>
  <c r="S168" i="1" s="1"/>
  <c r="J169" i="1"/>
  <c r="N169" i="1" s="1"/>
  <c r="R169" i="1" s="1"/>
  <c r="S169" i="1" s="1"/>
  <c r="J170" i="1"/>
  <c r="N170" i="1" s="1"/>
  <c r="R170" i="1" s="1"/>
  <c r="S170" i="1" s="1"/>
  <c r="J171" i="1"/>
  <c r="N171" i="1" s="1"/>
  <c r="R171" i="1" s="1"/>
  <c r="S171" i="1" s="1"/>
  <c r="J172" i="1"/>
  <c r="N172" i="1" s="1"/>
  <c r="R172" i="1" s="1"/>
  <c r="S172" i="1" s="1"/>
  <c r="J173" i="1"/>
  <c r="N173" i="1" s="1"/>
  <c r="R173" i="1" s="1"/>
  <c r="S173" i="1" s="1"/>
  <c r="J174" i="1"/>
  <c r="N174" i="1" s="1"/>
  <c r="R174" i="1" s="1"/>
  <c r="S174" i="1" s="1"/>
  <c r="J175" i="1"/>
  <c r="N175" i="1" s="1"/>
  <c r="R175" i="1" s="1"/>
  <c r="S175" i="1" s="1"/>
  <c r="J176" i="1"/>
  <c r="N176" i="1" s="1"/>
  <c r="R176" i="1" s="1"/>
  <c r="S176" i="1" s="1"/>
  <c r="J177" i="1"/>
  <c r="N177" i="1" s="1"/>
  <c r="R177" i="1" s="1"/>
  <c r="S177" i="1" s="1"/>
  <c r="J178" i="1"/>
  <c r="N178" i="1" s="1"/>
  <c r="R178" i="1" s="1"/>
  <c r="S178" i="1" s="1"/>
  <c r="J179" i="1"/>
  <c r="N179" i="1" s="1"/>
  <c r="R179" i="1" s="1"/>
  <c r="S179" i="1" s="1"/>
  <c r="J180" i="1"/>
  <c r="N180" i="1" s="1"/>
  <c r="R180" i="1" s="1"/>
  <c r="S180" i="1" s="1"/>
  <c r="J181" i="1"/>
  <c r="N181" i="1" s="1"/>
  <c r="R181" i="1" s="1"/>
  <c r="S181" i="1" s="1"/>
  <c r="J182" i="1"/>
  <c r="N182" i="1" s="1"/>
  <c r="R182" i="1" s="1"/>
  <c r="S182" i="1" s="1"/>
  <c r="J183" i="1"/>
  <c r="N183" i="1" s="1"/>
  <c r="R183" i="1" s="1"/>
  <c r="S183" i="1" s="1"/>
  <c r="J184" i="1"/>
  <c r="N184" i="1" s="1"/>
  <c r="R184" i="1" s="1"/>
  <c r="S184" i="1" s="1"/>
  <c r="J185" i="1"/>
  <c r="N185" i="1" s="1"/>
  <c r="R185" i="1" s="1"/>
  <c r="S185" i="1" s="1"/>
  <c r="J186" i="1"/>
  <c r="N186" i="1" s="1"/>
  <c r="R186" i="1" s="1"/>
  <c r="S186" i="1" s="1"/>
  <c r="J187" i="1"/>
  <c r="N187" i="1" s="1"/>
  <c r="R187" i="1" s="1"/>
  <c r="S187" i="1" s="1"/>
  <c r="J188" i="1"/>
  <c r="N188" i="1" s="1"/>
  <c r="R188" i="1" s="1"/>
  <c r="S188" i="1" s="1"/>
  <c r="J189" i="1"/>
  <c r="N189" i="1" s="1"/>
  <c r="R189" i="1" s="1"/>
  <c r="S189" i="1" s="1"/>
  <c r="J190" i="1"/>
  <c r="N190" i="1" s="1"/>
  <c r="R190" i="1" s="1"/>
  <c r="S190" i="1" s="1"/>
  <c r="J191" i="1"/>
  <c r="N191" i="1" s="1"/>
  <c r="R191" i="1" s="1"/>
  <c r="S191" i="1" s="1"/>
  <c r="J192" i="1"/>
  <c r="N192" i="1" s="1"/>
  <c r="R192" i="1" s="1"/>
  <c r="S192" i="1" s="1"/>
  <c r="J193" i="1"/>
  <c r="N193" i="1" s="1"/>
  <c r="R193" i="1" s="1"/>
  <c r="S193" i="1" s="1"/>
  <c r="J194" i="1"/>
  <c r="N194" i="1" s="1"/>
  <c r="R194" i="1" s="1"/>
  <c r="S194" i="1" s="1"/>
  <c r="J195" i="1"/>
  <c r="N195" i="1" s="1"/>
  <c r="R195" i="1" s="1"/>
  <c r="S195" i="1" s="1"/>
  <c r="J196" i="1"/>
  <c r="N196" i="1" s="1"/>
  <c r="R196" i="1" s="1"/>
  <c r="S196" i="1" s="1"/>
  <c r="J197" i="1"/>
  <c r="N197" i="1" s="1"/>
  <c r="R197" i="1" s="1"/>
  <c r="S197" i="1" s="1"/>
  <c r="J198" i="1"/>
  <c r="N198" i="1" s="1"/>
  <c r="R198" i="1" s="1"/>
  <c r="S198" i="1" s="1"/>
  <c r="J199" i="1"/>
  <c r="N199" i="1" s="1"/>
  <c r="R199" i="1" s="1"/>
  <c r="S199" i="1" s="1"/>
  <c r="J200" i="1"/>
  <c r="N200" i="1" s="1"/>
  <c r="R200" i="1" s="1"/>
  <c r="S200" i="1" s="1"/>
  <c r="J201" i="1"/>
  <c r="N201" i="1" s="1"/>
  <c r="R201" i="1" s="1"/>
  <c r="S201" i="1" s="1"/>
  <c r="J202" i="1"/>
  <c r="N202" i="1" s="1"/>
  <c r="R202" i="1" s="1"/>
  <c r="S202" i="1" s="1"/>
  <c r="J203" i="1"/>
  <c r="N203" i="1" s="1"/>
  <c r="R203" i="1" s="1"/>
  <c r="S203" i="1" s="1"/>
  <c r="J204" i="1"/>
  <c r="N204" i="1" s="1"/>
  <c r="R204" i="1" s="1"/>
  <c r="S204" i="1" s="1"/>
  <c r="J205" i="1"/>
  <c r="N205" i="1" s="1"/>
  <c r="R205" i="1" s="1"/>
  <c r="S205" i="1" s="1"/>
  <c r="J206" i="1"/>
  <c r="N206" i="1" s="1"/>
  <c r="R206" i="1" s="1"/>
  <c r="S206" i="1" s="1"/>
  <c r="J207" i="1"/>
  <c r="N207" i="1" s="1"/>
  <c r="R207" i="1" s="1"/>
  <c r="S207" i="1" s="1"/>
  <c r="J208" i="1"/>
  <c r="N208" i="1" s="1"/>
  <c r="R208" i="1" s="1"/>
  <c r="S208" i="1" s="1"/>
  <c r="J209" i="1"/>
  <c r="N209" i="1" s="1"/>
  <c r="R209" i="1" s="1"/>
  <c r="S209" i="1" s="1"/>
  <c r="J210" i="1"/>
  <c r="N210" i="1" s="1"/>
  <c r="R210" i="1" s="1"/>
  <c r="S210" i="1" s="1"/>
  <c r="J211" i="1"/>
  <c r="N211" i="1" s="1"/>
  <c r="R211" i="1" s="1"/>
  <c r="S211" i="1" s="1"/>
  <c r="J212" i="1"/>
  <c r="N212" i="1" s="1"/>
  <c r="R212" i="1" s="1"/>
  <c r="S212" i="1" s="1"/>
  <c r="J213" i="1"/>
  <c r="N213" i="1" s="1"/>
  <c r="R213" i="1" s="1"/>
  <c r="S213" i="1" s="1"/>
  <c r="J214" i="1"/>
  <c r="N214" i="1" s="1"/>
  <c r="R214" i="1" s="1"/>
  <c r="S214" i="1" s="1"/>
  <c r="J215" i="1"/>
  <c r="N215" i="1" s="1"/>
  <c r="R215" i="1" s="1"/>
  <c r="S215" i="1" s="1"/>
  <c r="J216" i="1"/>
  <c r="N216" i="1" s="1"/>
  <c r="R216" i="1" s="1"/>
  <c r="S216" i="1" s="1"/>
  <c r="J217" i="1"/>
  <c r="N217" i="1" s="1"/>
  <c r="R217" i="1" s="1"/>
  <c r="S217" i="1" s="1"/>
  <c r="J218" i="1"/>
  <c r="N218" i="1" s="1"/>
  <c r="R218" i="1" s="1"/>
  <c r="S218" i="1" s="1"/>
  <c r="J219" i="1"/>
  <c r="N219" i="1" s="1"/>
  <c r="R219" i="1" s="1"/>
  <c r="S219" i="1" s="1"/>
  <c r="J220" i="1"/>
  <c r="N220" i="1" s="1"/>
  <c r="R220" i="1" s="1"/>
  <c r="S220" i="1" s="1"/>
  <c r="J221" i="1"/>
  <c r="N221" i="1" s="1"/>
  <c r="R221" i="1" s="1"/>
  <c r="S221" i="1" s="1"/>
  <c r="J222" i="1"/>
  <c r="N222" i="1" s="1"/>
  <c r="R222" i="1" s="1"/>
  <c r="S222" i="1" s="1"/>
  <c r="J223" i="1"/>
  <c r="N223" i="1" s="1"/>
  <c r="R223" i="1" s="1"/>
  <c r="S223" i="1" s="1"/>
  <c r="J224" i="1"/>
  <c r="N224" i="1" s="1"/>
  <c r="R224" i="1" s="1"/>
  <c r="S224" i="1" s="1"/>
  <c r="J225" i="1"/>
  <c r="N225" i="1" s="1"/>
  <c r="R225" i="1" s="1"/>
  <c r="S225" i="1" s="1"/>
  <c r="J226" i="1"/>
  <c r="N226" i="1" s="1"/>
  <c r="R226" i="1" s="1"/>
  <c r="S226" i="1" s="1"/>
  <c r="J227" i="1"/>
  <c r="N227" i="1" s="1"/>
  <c r="R227" i="1" s="1"/>
  <c r="S227" i="1" s="1"/>
  <c r="J228" i="1"/>
  <c r="N228" i="1" s="1"/>
  <c r="R228" i="1" s="1"/>
  <c r="S228" i="1" s="1"/>
  <c r="J229" i="1"/>
  <c r="N229" i="1" s="1"/>
  <c r="R229" i="1" s="1"/>
  <c r="S229" i="1" s="1"/>
  <c r="J230" i="1"/>
  <c r="N230" i="1" s="1"/>
  <c r="R230" i="1" s="1"/>
  <c r="S230" i="1" s="1"/>
  <c r="J231" i="1"/>
  <c r="N231" i="1" s="1"/>
  <c r="R231" i="1" s="1"/>
  <c r="S231" i="1" s="1"/>
  <c r="J232" i="1"/>
  <c r="N232" i="1" s="1"/>
  <c r="R232" i="1" s="1"/>
  <c r="S232" i="1" s="1"/>
  <c r="J233" i="1"/>
  <c r="N233" i="1" s="1"/>
  <c r="R233" i="1" s="1"/>
  <c r="S233" i="1" s="1"/>
  <c r="J234" i="1"/>
  <c r="N234" i="1" s="1"/>
  <c r="R234" i="1" s="1"/>
  <c r="S234" i="1" s="1"/>
  <c r="J235" i="1"/>
  <c r="N235" i="1" s="1"/>
  <c r="R235" i="1" s="1"/>
  <c r="S235" i="1" s="1"/>
  <c r="J236" i="1"/>
  <c r="N236" i="1" s="1"/>
  <c r="R236" i="1" s="1"/>
  <c r="S236" i="1" s="1"/>
  <c r="J237" i="1"/>
  <c r="N237" i="1" s="1"/>
  <c r="R237" i="1" s="1"/>
  <c r="S237" i="1" s="1"/>
  <c r="J238" i="1"/>
  <c r="N238" i="1" s="1"/>
  <c r="R238" i="1" s="1"/>
  <c r="S238" i="1" s="1"/>
  <c r="J239" i="1"/>
  <c r="N239" i="1" s="1"/>
  <c r="R239" i="1" s="1"/>
  <c r="S239" i="1" s="1"/>
  <c r="J240" i="1"/>
  <c r="N240" i="1" s="1"/>
  <c r="R240" i="1" s="1"/>
  <c r="S240" i="1" s="1"/>
  <c r="J241" i="1"/>
  <c r="N241" i="1" s="1"/>
  <c r="R241" i="1" s="1"/>
  <c r="S241" i="1" s="1"/>
  <c r="J242" i="1"/>
  <c r="N242" i="1" s="1"/>
  <c r="R242" i="1" s="1"/>
  <c r="S242" i="1" s="1"/>
  <c r="J243" i="1"/>
  <c r="N243" i="1" s="1"/>
  <c r="R243" i="1" s="1"/>
  <c r="S243" i="1" s="1"/>
  <c r="J244" i="1"/>
  <c r="N244" i="1" s="1"/>
  <c r="R244" i="1" s="1"/>
  <c r="S244" i="1" s="1"/>
  <c r="J245" i="1"/>
  <c r="N245" i="1" s="1"/>
  <c r="R245" i="1" s="1"/>
  <c r="S245" i="1" s="1"/>
  <c r="J246" i="1"/>
  <c r="N246" i="1" s="1"/>
  <c r="R246" i="1" s="1"/>
  <c r="S246" i="1" s="1"/>
  <c r="J247" i="1"/>
  <c r="N247" i="1" s="1"/>
  <c r="R247" i="1" s="1"/>
  <c r="S247" i="1" s="1"/>
  <c r="J248" i="1"/>
  <c r="N248" i="1" s="1"/>
  <c r="R248" i="1" s="1"/>
  <c r="S248" i="1" s="1"/>
  <c r="J249" i="1"/>
  <c r="N249" i="1" s="1"/>
  <c r="R249" i="1" s="1"/>
  <c r="S249" i="1" s="1"/>
  <c r="J250" i="1"/>
  <c r="N250" i="1" s="1"/>
  <c r="R250" i="1" s="1"/>
  <c r="S250" i="1" s="1"/>
  <c r="J251" i="1"/>
  <c r="N251" i="1" s="1"/>
  <c r="R251" i="1" s="1"/>
  <c r="S251" i="1" s="1"/>
  <c r="J252" i="1"/>
  <c r="N252" i="1" s="1"/>
  <c r="R252" i="1" s="1"/>
  <c r="S252" i="1" s="1"/>
  <c r="J253" i="1"/>
  <c r="N253" i="1" s="1"/>
  <c r="R253" i="1" s="1"/>
  <c r="S253" i="1" s="1"/>
  <c r="J254" i="1"/>
  <c r="N254" i="1" s="1"/>
  <c r="R254" i="1" s="1"/>
  <c r="S254" i="1" s="1"/>
  <c r="J255" i="1"/>
  <c r="N255" i="1" s="1"/>
  <c r="R255" i="1" s="1"/>
  <c r="S255" i="1" s="1"/>
  <c r="J256" i="1"/>
  <c r="N256" i="1" s="1"/>
  <c r="R256" i="1" s="1"/>
  <c r="S256" i="1" s="1"/>
  <c r="J257" i="1"/>
  <c r="N257" i="1" s="1"/>
  <c r="R257" i="1" s="1"/>
  <c r="S257" i="1" s="1"/>
  <c r="J258" i="1"/>
  <c r="N258" i="1" s="1"/>
  <c r="R258" i="1" s="1"/>
  <c r="S258" i="1" s="1"/>
  <c r="J259" i="1"/>
  <c r="N259" i="1" s="1"/>
  <c r="R259" i="1" s="1"/>
  <c r="S259" i="1" s="1"/>
  <c r="J260" i="1"/>
  <c r="N260" i="1" s="1"/>
  <c r="R260" i="1" s="1"/>
  <c r="S260" i="1" s="1"/>
  <c r="J261" i="1"/>
  <c r="N261" i="1" s="1"/>
  <c r="R261" i="1" s="1"/>
  <c r="S261" i="1" s="1"/>
  <c r="J262" i="1"/>
  <c r="N262" i="1" s="1"/>
  <c r="R262" i="1" s="1"/>
  <c r="S262" i="1" s="1"/>
  <c r="J263" i="1"/>
  <c r="N263" i="1" s="1"/>
  <c r="R263" i="1" s="1"/>
  <c r="S263" i="1" s="1"/>
  <c r="J264" i="1"/>
  <c r="N264" i="1" s="1"/>
  <c r="R264" i="1" s="1"/>
  <c r="S264" i="1" s="1"/>
  <c r="J265" i="1"/>
  <c r="N265" i="1" s="1"/>
  <c r="R265" i="1" s="1"/>
  <c r="S265" i="1" s="1"/>
  <c r="J266" i="1"/>
  <c r="N266" i="1" s="1"/>
  <c r="R266" i="1" s="1"/>
  <c r="S266" i="1" s="1"/>
  <c r="J267" i="1"/>
  <c r="N267" i="1" s="1"/>
  <c r="R267" i="1" s="1"/>
  <c r="S267" i="1" s="1"/>
  <c r="J268" i="1"/>
  <c r="N268" i="1" s="1"/>
  <c r="R268" i="1" s="1"/>
  <c r="S268" i="1" s="1"/>
  <c r="J269" i="1"/>
  <c r="N269" i="1" s="1"/>
  <c r="R269" i="1" s="1"/>
  <c r="S269" i="1" s="1"/>
  <c r="J270" i="1"/>
  <c r="N270" i="1" s="1"/>
  <c r="R270" i="1" s="1"/>
  <c r="S270" i="1" s="1"/>
  <c r="J271" i="1"/>
  <c r="N271" i="1" s="1"/>
  <c r="R271" i="1" s="1"/>
  <c r="S271" i="1" s="1"/>
  <c r="J272" i="1"/>
  <c r="N272" i="1" s="1"/>
  <c r="R272" i="1" s="1"/>
  <c r="S272" i="1" s="1"/>
  <c r="J273" i="1"/>
  <c r="N273" i="1" s="1"/>
  <c r="R273" i="1" s="1"/>
  <c r="S273" i="1" s="1"/>
  <c r="J274" i="1"/>
  <c r="N274" i="1" s="1"/>
  <c r="R274" i="1" s="1"/>
  <c r="S274" i="1" s="1"/>
  <c r="J275" i="1"/>
  <c r="N275" i="1" s="1"/>
  <c r="R275" i="1" s="1"/>
  <c r="S275" i="1" s="1"/>
  <c r="J276" i="1"/>
  <c r="N276" i="1" s="1"/>
  <c r="R276" i="1" s="1"/>
  <c r="S276" i="1" s="1"/>
  <c r="J277" i="1"/>
  <c r="N277" i="1" s="1"/>
  <c r="R277" i="1" s="1"/>
  <c r="S277" i="1" s="1"/>
  <c r="J278" i="1"/>
  <c r="N278" i="1" s="1"/>
  <c r="R278" i="1" s="1"/>
  <c r="S278" i="1" s="1"/>
  <c r="J279" i="1"/>
  <c r="N279" i="1" s="1"/>
  <c r="R279" i="1" s="1"/>
  <c r="S279" i="1" s="1"/>
  <c r="J280" i="1"/>
  <c r="N280" i="1" s="1"/>
  <c r="R280" i="1" s="1"/>
  <c r="S280" i="1" s="1"/>
  <c r="J281" i="1"/>
  <c r="N281" i="1" s="1"/>
  <c r="R281" i="1" s="1"/>
  <c r="S281" i="1" s="1"/>
  <c r="J282" i="1"/>
  <c r="N282" i="1" s="1"/>
  <c r="R282" i="1" s="1"/>
  <c r="S282" i="1" s="1"/>
  <c r="J283" i="1"/>
  <c r="N283" i="1" s="1"/>
  <c r="R283" i="1" s="1"/>
  <c r="S283" i="1" s="1"/>
  <c r="J284" i="1"/>
  <c r="N284" i="1" s="1"/>
  <c r="R284" i="1" s="1"/>
  <c r="S284" i="1" s="1"/>
  <c r="J285" i="1"/>
  <c r="N285" i="1" s="1"/>
  <c r="R285" i="1" s="1"/>
  <c r="S285" i="1" s="1"/>
  <c r="J286" i="1"/>
  <c r="N286" i="1" s="1"/>
  <c r="R286" i="1" s="1"/>
  <c r="S286" i="1" s="1"/>
  <c r="J287" i="1"/>
  <c r="N287" i="1" s="1"/>
  <c r="R287" i="1" s="1"/>
  <c r="S287" i="1" s="1"/>
  <c r="J288" i="1"/>
  <c r="N288" i="1" s="1"/>
  <c r="R288" i="1" s="1"/>
  <c r="S288" i="1" s="1"/>
  <c r="J289" i="1"/>
  <c r="N289" i="1" s="1"/>
  <c r="R289" i="1" s="1"/>
  <c r="S289" i="1" s="1"/>
  <c r="J290" i="1"/>
  <c r="N290" i="1" s="1"/>
  <c r="R290" i="1" s="1"/>
  <c r="S290" i="1" s="1"/>
  <c r="J291" i="1"/>
  <c r="N291" i="1" s="1"/>
  <c r="R291" i="1" s="1"/>
  <c r="S291" i="1" s="1"/>
  <c r="J292" i="1"/>
  <c r="N292" i="1" s="1"/>
  <c r="R292" i="1" s="1"/>
  <c r="S292" i="1" s="1"/>
  <c r="J293" i="1"/>
  <c r="N293" i="1" s="1"/>
  <c r="R293" i="1" s="1"/>
  <c r="S293" i="1" s="1"/>
  <c r="J294" i="1"/>
  <c r="N294" i="1" s="1"/>
  <c r="R294" i="1" s="1"/>
  <c r="S294" i="1" s="1"/>
  <c r="J295" i="1"/>
  <c r="N295" i="1" s="1"/>
  <c r="R295" i="1" s="1"/>
  <c r="S295" i="1" s="1"/>
  <c r="J296" i="1"/>
  <c r="N296" i="1" s="1"/>
  <c r="R296" i="1" s="1"/>
  <c r="S296" i="1" s="1"/>
  <c r="J297" i="1"/>
  <c r="N297" i="1" s="1"/>
  <c r="R297" i="1" s="1"/>
  <c r="S297" i="1" s="1"/>
  <c r="J298" i="1"/>
  <c r="N298" i="1" s="1"/>
  <c r="R298" i="1" s="1"/>
  <c r="S298" i="1" s="1"/>
  <c r="J299" i="1"/>
  <c r="N299" i="1" s="1"/>
  <c r="R299" i="1" s="1"/>
  <c r="S299" i="1" s="1"/>
  <c r="J300" i="1"/>
  <c r="N300" i="1" s="1"/>
  <c r="R300" i="1" s="1"/>
  <c r="S300" i="1" s="1"/>
  <c r="J301" i="1"/>
  <c r="N301" i="1" s="1"/>
  <c r="R301" i="1" s="1"/>
  <c r="S301" i="1" s="1"/>
  <c r="J2" i="1"/>
  <c r="N2" i="1" s="1"/>
  <c r="R2" i="1" s="1"/>
  <c r="S2" i="1" s="1"/>
  <c r="X8" i="1" l="1"/>
  <c r="X6" i="1"/>
  <c r="X5" i="1"/>
  <c r="X4" i="1"/>
</calcChain>
</file>

<file path=xl/sharedStrings.xml><?xml version="1.0" encoding="utf-8"?>
<sst xmlns="http://schemas.openxmlformats.org/spreadsheetml/2006/main" count="1544" uniqueCount="346">
  <si>
    <t>Account_ID</t>
  </si>
  <si>
    <t>Branch</t>
  </si>
  <si>
    <t>Sector</t>
  </si>
  <si>
    <t>Outstanding_Amount</t>
  </si>
  <si>
    <t>EMI_Delay_Days</t>
  </si>
  <si>
    <t>Credit_Utilization_%</t>
  </si>
  <si>
    <t>Sales_Trend</t>
  </si>
  <si>
    <t>Cheque_Bounce_Count</t>
  </si>
  <si>
    <t>Risk_Category</t>
  </si>
  <si>
    <t>Payment_Delay_Risk</t>
  </si>
  <si>
    <t>Utilisation_Risk</t>
  </si>
  <si>
    <t>Sales_Risk</t>
  </si>
  <si>
    <t>Bounce_Risk</t>
  </si>
  <si>
    <t>Payment_Score</t>
  </si>
  <si>
    <t>Utilisation_Score</t>
  </si>
  <si>
    <t>Sales_Score</t>
  </si>
  <si>
    <t>Bounce_Score</t>
  </si>
  <si>
    <t>EWS Total Score</t>
  </si>
  <si>
    <t>EWS_Risk_Level</t>
  </si>
  <si>
    <t>A1117</t>
  </si>
  <si>
    <t>Delhi</t>
  </si>
  <si>
    <t>Logistics</t>
  </si>
  <si>
    <t>Declining</t>
  </si>
  <si>
    <t>Low</t>
  </si>
  <si>
    <t>High</t>
  </si>
  <si>
    <t>Metric</t>
  </si>
  <si>
    <t>Value</t>
  </si>
  <si>
    <t>A1253</t>
  </si>
  <si>
    <t>Services</t>
  </si>
  <si>
    <t>Total Accounts</t>
  </si>
  <si>
    <t>A1265</t>
  </si>
  <si>
    <t>Mumbai</t>
  </si>
  <si>
    <t>High Risk Accounts</t>
  </si>
  <si>
    <t>A1011</t>
  </si>
  <si>
    <t>Trading</t>
  </si>
  <si>
    <t>Medium</t>
  </si>
  <si>
    <t>Medium Risk Accounts</t>
  </si>
  <si>
    <t>A1034</t>
  </si>
  <si>
    <t>Bangalore</t>
  </si>
  <si>
    <t>Low Risk Accounts</t>
  </si>
  <si>
    <t>A1114</t>
  </si>
  <si>
    <t>Kolkata</t>
  </si>
  <si>
    <t>Retail</t>
  </si>
  <si>
    <t>A1145</t>
  </si>
  <si>
    <t>High Risk Exposue</t>
  </si>
  <si>
    <t>A1161</t>
  </si>
  <si>
    <t>A1190</t>
  </si>
  <si>
    <t>A1285</t>
  </si>
  <si>
    <t>Chennai</t>
  </si>
  <si>
    <t>Row Labels</t>
  </si>
  <si>
    <t>Count of Account_ID</t>
  </si>
  <si>
    <t>A1000</t>
  </si>
  <si>
    <t>A1005</t>
  </si>
  <si>
    <t>A1006</t>
  </si>
  <si>
    <t>Manufacturing</t>
  </si>
  <si>
    <t>A1007</t>
  </si>
  <si>
    <t>Increasing</t>
  </si>
  <si>
    <t>A1018</t>
  </si>
  <si>
    <t>A1021</t>
  </si>
  <si>
    <t>Grand Total</t>
  </si>
  <si>
    <t>A1022</t>
  </si>
  <si>
    <t>A1025</t>
  </si>
  <si>
    <t>A1027</t>
  </si>
  <si>
    <t>A1030</t>
  </si>
  <si>
    <t>A1048</t>
  </si>
  <si>
    <t>A1063</t>
  </si>
  <si>
    <t>A1076</t>
  </si>
  <si>
    <t>A1084</t>
  </si>
  <si>
    <t>Stable</t>
  </si>
  <si>
    <t>A1093</t>
  </si>
  <si>
    <t>A1099</t>
  </si>
  <si>
    <t>A1103</t>
  </si>
  <si>
    <t>A1106</t>
  </si>
  <si>
    <t>A1110</t>
  </si>
  <si>
    <t>A1120</t>
  </si>
  <si>
    <t>A1130</t>
  </si>
  <si>
    <t>A1148</t>
  </si>
  <si>
    <t>A1151</t>
  </si>
  <si>
    <t>A1165</t>
  </si>
  <si>
    <t>A1174</t>
  </si>
  <si>
    <t>A1182</t>
  </si>
  <si>
    <t>A1198</t>
  </si>
  <si>
    <t>A1206</t>
  </si>
  <si>
    <t>A1210</t>
  </si>
  <si>
    <t>A1235</t>
  </si>
  <si>
    <t>A1236</t>
  </si>
  <si>
    <t>A1272</t>
  </si>
  <si>
    <t>A1273</t>
  </si>
  <si>
    <t>A1282</t>
  </si>
  <si>
    <t>A1293</t>
  </si>
  <si>
    <t>A1002</t>
  </si>
  <si>
    <t>A1010</t>
  </si>
  <si>
    <t>A1051</t>
  </si>
  <si>
    <t>A1058</t>
  </si>
  <si>
    <t>A1069</t>
  </si>
  <si>
    <t>A1072</t>
  </si>
  <si>
    <t>A1078</t>
  </si>
  <si>
    <t>A1080</t>
  </si>
  <si>
    <t>A1092</t>
  </si>
  <si>
    <t>A1097</t>
  </si>
  <si>
    <t>A1115</t>
  </si>
  <si>
    <t>A1119</t>
  </si>
  <si>
    <t>A1121</t>
  </si>
  <si>
    <t>A1128</t>
  </si>
  <si>
    <t>A1135</t>
  </si>
  <si>
    <t>A1142</t>
  </si>
  <si>
    <t>A1143</t>
  </si>
  <si>
    <t>A1154</t>
  </si>
  <si>
    <t>A1160</t>
  </si>
  <si>
    <t>A1171</t>
  </si>
  <si>
    <t>A1173</t>
  </si>
  <si>
    <t>A1175</t>
  </si>
  <si>
    <t>A1177</t>
  </si>
  <si>
    <t>A1181</t>
  </si>
  <si>
    <t>A1185</t>
  </si>
  <si>
    <t>A1187</t>
  </si>
  <si>
    <t>A1193</t>
  </si>
  <si>
    <t>A1204</t>
  </si>
  <si>
    <t>A1211</t>
  </si>
  <si>
    <t>A1212</t>
  </si>
  <si>
    <t>A1214</t>
  </si>
  <si>
    <t>A1219</t>
  </si>
  <si>
    <t>A1220</t>
  </si>
  <si>
    <t>A1223</t>
  </si>
  <si>
    <t>A1231</t>
  </si>
  <si>
    <t>A1240</t>
  </si>
  <si>
    <t>A1246</t>
  </si>
  <si>
    <t>A1248</t>
  </si>
  <si>
    <t>A1257</t>
  </si>
  <si>
    <t>A1266</t>
  </si>
  <si>
    <t>A1267</t>
  </si>
  <si>
    <t>A1276</t>
  </si>
  <si>
    <t>A1277</t>
  </si>
  <si>
    <t>A1279</t>
  </si>
  <si>
    <t>A1288</t>
  </si>
  <si>
    <t>A1289</t>
  </si>
  <si>
    <t>A1294</t>
  </si>
  <si>
    <t>A1001</t>
  </si>
  <si>
    <t>A1004</t>
  </si>
  <si>
    <t>A1009</t>
  </si>
  <si>
    <t>A1012</t>
  </si>
  <si>
    <t>A1015</t>
  </si>
  <si>
    <t>A1023</t>
  </si>
  <si>
    <t>A1031</t>
  </si>
  <si>
    <t>A1032</t>
  </si>
  <si>
    <t>A1036</t>
  </si>
  <si>
    <t>A1038</t>
  </si>
  <si>
    <t>A1046</t>
  </si>
  <si>
    <t>A1049</t>
  </si>
  <si>
    <t>A1050</t>
  </si>
  <si>
    <t>A1053</t>
  </si>
  <si>
    <t>A1057</t>
  </si>
  <si>
    <t>A1060</t>
  </si>
  <si>
    <t>A1061</t>
  </si>
  <si>
    <t>A1066</t>
  </si>
  <si>
    <t>A1073</t>
  </si>
  <si>
    <t>A1075</t>
  </si>
  <si>
    <t>A1085</t>
  </si>
  <si>
    <t>A1090</t>
  </si>
  <si>
    <t>A1095</t>
  </si>
  <si>
    <t>A1100</t>
  </si>
  <si>
    <t>A1104</t>
  </si>
  <si>
    <t>A1108</t>
  </si>
  <si>
    <t>A1112</t>
  </si>
  <si>
    <t>A1124</t>
  </si>
  <si>
    <t>A1126</t>
  </si>
  <si>
    <t>A1131</t>
  </si>
  <si>
    <t>A1132</t>
  </si>
  <si>
    <t>A1133</t>
  </si>
  <si>
    <t>A1134</t>
  </si>
  <si>
    <t>A1136</t>
  </si>
  <si>
    <t>A1139</t>
  </si>
  <si>
    <t>A1150</t>
  </si>
  <si>
    <t>A1152</t>
  </si>
  <si>
    <t>A1153</t>
  </si>
  <si>
    <t>A1158</t>
  </si>
  <si>
    <t>A1159</t>
  </si>
  <si>
    <t>A1163</t>
  </si>
  <si>
    <t>A1166</t>
  </si>
  <si>
    <t>A1168</t>
  </si>
  <si>
    <t>A1176</t>
  </si>
  <si>
    <t>A1178</t>
  </si>
  <si>
    <t>A1179</t>
  </si>
  <si>
    <t>A1180</t>
  </si>
  <si>
    <t>A1186</t>
  </si>
  <si>
    <t>A1188</t>
  </si>
  <si>
    <t>A1189</t>
  </si>
  <si>
    <t>A1191</t>
  </si>
  <si>
    <t>A1194</t>
  </si>
  <si>
    <t>A1199</t>
  </si>
  <si>
    <t>A1208</t>
  </si>
  <si>
    <t>A1209</t>
  </si>
  <si>
    <t>A1213</t>
  </si>
  <si>
    <t>A1215</t>
  </si>
  <si>
    <t>A1221</t>
  </si>
  <si>
    <t>A1224</t>
  </si>
  <si>
    <t>A1227</t>
  </si>
  <si>
    <t>A1229</t>
  </si>
  <si>
    <t>A1238</t>
  </si>
  <si>
    <t>A1239</t>
  </si>
  <si>
    <t>A1243</t>
  </si>
  <si>
    <t>A1244</t>
  </si>
  <si>
    <t>A1249</t>
  </si>
  <si>
    <t>A1250</t>
  </si>
  <si>
    <t>A1254</t>
  </si>
  <si>
    <t>A1271</t>
  </si>
  <si>
    <t>A1280</t>
  </si>
  <si>
    <t>A1281</t>
  </si>
  <si>
    <t>A1284</t>
  </si>
  <si>
    <t>A1286</t>
  </si>
  <si>
    <t>A1298</t>
  </si>
  <si>
    <t>A1299</t>
  </si>
  <si>
    <t>A1008</t>
  </si>
  <si>
    <t>A1016</t>
  </si>
  <si>
    <t>A1020</t>
  </si>
  <si>
    <t>A1024</t>
  </si>
  <si>
    <t>A1029</t>
  </si>
  <si>
    <t>A1033</t>
  </si>
  <si>
    <t>A1035</t>
  </si>
  <si>
    <t>A1041</t>
  </si>
  <si>
    <t>A1042</t>
  </si>
  <si>
    <t>A1044</t>
  </si>
  <si>
    <t>A1045</t>
  </si>
  <si>
    <t>A1047</t>
  </si>
  <si>
    <t>A1052</t>
  </si>
  <si>
    <t>A1055</t>
  </si>
  <si>
    <t>A1062</t>
  </si>
  <si>
    <t>A1064</t>
  </si>
  <si>
    <t>A1067</t>
  </si>
  <si>
    <t>A1074</t>
  </si>
  <si>
    <t>A1077</t>
  </si>
  <si>
    <t>A1081</t>
  </si>
  <si>
    <t>A1083</t>
  </si>
  <si>
    <t>A1086</t>
  </si>
  <si>
    <t>A1087</t>
  </si>
  <si>
    <t>A1089</t>
  </si>
  <si>
    <t>A1101</t>
  </si>
  <si>
    <t>A1105</t>
  </si>
  <si>
    <t>A1118</t>
  </si>
  <si>
    <t>A1123</t>
  </si>
  <si>
    <t>A1137</t>
  </si>
  <si>
    <t>A1138</t>
  </si>
  <si>
    <t>A1144</t>
  </si>
  <si>
    <t>A1147</t>
  </si>
  <si>
    <t>A1149</t>
  </si>
  <si>
    <t>A1156</t>
  </si>
  <si>
    <t>A1162</t>
  </si>
  <si>
    <t>A1164</t>
  </si>
  <si>
    <t>A1169</t>
  </si>
  <si>
    <t>A1172</t>
  </si>
  <si>
    <t>A1184</t>
  </si>
  <si>
    <t>A1197</t>
  </si>
  <si>
    <t>A1203</t>
  </si>
  <si>
    <t>A1205</t>
  </si>
  <si>
    <t>A1216</t>
  </si>
  <si>
    <t>A1218</t>
  </si>
  <si>
    <t>A1222</t>
  </si>
  <si>
    <t>A1226</t>
  </si>
  <si>
    <t>A1228</t>
  </si>
  <si>
    <t>A1230</t>
  </si>
  <si>
    <t>A1232</t>
  </si>
  <si>
    <t>A1234</t>
  </si>
  <si>
    <t>A1237</t>
  </si>
  <si>
    <t>A1245</t>
  </si>
  <si>
    <t>A1252</t>
  </si>
  <si>
    <t>A1255</t>
  </si>
  <si>
    <t>A1260</t>
  </si>
  <si>
    <t>A1262</t>
  </si>
  <si>
    <t>A1263</t>
  </si>
  <si>
    <t>A1270</t>
  </si>
  <si>
    <t>A1278</t>
  </si>
  <si>
    <t>A1283</t>
  </si>
  <si>
    <t>A1291</t>
  </si>
  <si>
    <t>A1295</t>
  </si>
  <si>
    <t>A1296</t>
  </si>
  <si>
    <t>A1013</t>
  </si>
  <si>
    <t>A1014</t>
  </si>
  <si>
    <t>A1017</t>
  </si>
  <si>
    <t>A1026</t>
  </si>
  <si>
    <t>A1028</t>
  </si>
  <si>
    <t>A1037</t>
  </si>
  <si>
    <t>A1040</t>
  </si>
  <si>
    <t>A1043</t>
  </si>
  <si>
    <t>A1054</t>
  </si>
  <si>
    <t>A1071</t>
  </si>
  <si>
    <t>A1079</t>
  </si>
  <si>
    <t>A1082</t>
  </si>
  <si>
    <t>A1088</t>
  </si>
  <si>
    <t>A1096</t>
  </si>
  <si>
    <t>A1107</t>
  </si>
  <si>
    <t>A1109</t>
  </si>
  <si>
    <t>A1111</t>
  </si>
  <si>
    <t>A1113</t>
  </si>
  <si>
    <t>A1122</t>
  </si>
  <si>
    <t>A1125</t>
  </si>
  <si>
    <t>A1127</t>
  </si>
  <si>
    <t>A1129</t>
  </si>
  <si>
    <t>A1140</t>
  </si>
  <si>
    <t>A1146</t>
  </si>
  <si>
    <t>A1155</t>
  </si>
  <si>
    <t>A1157</t>
  </si>
  <si>
    <t>A1183</t>
  </si>
  <si>
    <t>A1192</t>
  </si>
  <si>
    <t>A1196</t>
  </si>
  <si>
    <t>A1201</t>
  </si>
  <si>
    <t>A1202</t>
  </si>
  <si>
    <t>A1233</t>
  </si>
  <si>
    <t>A1241</t>
  </si>
  <si>
    <t>A1242</t>
  </si>
  <si>
    <t>A1247</t>
  </si>
  <si>
    <t>A1251</t>
  </si>
  <si>
    <t>A1259</t>
  </si>
  <si>
    <t>A1268</t>
  </si>
  <si>
    <t>A1269</t>
  </si>
  <si>
    <t>A1274</t>
  </si>
  <si>
    <t>A1275</t>
  </si>
  <si>
    <t>A1287</t>
  </si>
  <si>
    <t>A1290</t>
  </si>
  <si>
    <t>A1292</t>
  </si>
  <si>
    <t>A1297</t>
  </si>
  <si>
    <t>A1003</t>
  </si>
  <si>
    <t>A1039</t>
  </si>
  <si>
    <t>A1056</t>
  </si>
  <si>
    <t>A1065</t>
  </si>
  <si>
    <t>A1068</t>
  </si>
  <si>
    <t>A1070</t>
  </si>
  <si>
    <t>A1091</t>
  </si>
  <si>
    <t>A1098</t>
  </si>
  <si>
    <t>A1116</t>
  </si>
  <si>
    <t>A1141</t>
  </si>
  <si>
    <t>A1200</t>
  </si>
  <si>
    <t>A1207</t>
  </si>
  <si>
    <t>A1217</t>
  </si>
  <si>
    <t>A1225</t>
  </si>
  <si>
    <t>A1256</t>
  </si>
  <si>
    <t>A1258</t>
  </si>
  <si>
    <t>A1261</t>
  </si>
  <si>
    <t>A1264</t>
  </si>
  <si>
    <t>A1019</t>
  </si>
  <si>
    <t>A1059</t>
  </si>
  <si>
    <t>A1094</t>
  </si>
  <si>
    <t>A1102</t>
  </si>
  <si>
    <t>A1167</t>
  </si>
  <si>
    <t>A1170</t>
  </si>
  <si>
    <t>A1195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</si>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</sst>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EHA SINGHAL" refreshedDate="46096.607389699071" createdVersion="4" refreshedVersion="4" minRefreshableVersion="3" recordCount="300">
  <cacheSource type="worksheet">
    <worksheetSource ref="A1:S301" sheet="Dataset"/>
  </cacheSource>
  <cacheFields count="19">
    <cacheField name="Account_ID" numFmtId="0">
      <sharedItems count="300">
        <s v="A1117"/>
        <s v="A1253"/>
        <s v="A1265"/>
        <s v="A1011"/>
        <s v="A1034"/>
        <s v="A1114"/>
        <s v="A1145"/>
        <s v="A1161"/>
        <s v="A1190"/>
        <s v="A1285"/>
        <s v="A1000"/>
        <s v="A1005"/>
        <s v="A1006"/>
        <s v="A1007"/>
        <s v="A1018"/>
        <s v="A1021"/>
        <s v="A1022"/>
        <s v="A1025"/>
        <s v="A1027"/>
        <s v="A1030"/>
        <s v="A1048"/>
        <s v="A1063"/>
        <s v="A1076"/>
        <s v="A1084"/>
        <s v="A1093"/>
        <s v="A1099"/>
        <s v="A1103"/>
        <s v="A1106"/>
        <s v="A1110"/>
        <s v="A1120"/>
        <s v="A1130"/>
        <s v="A1148"/>
        <s v="A1151"/>
        <s v="A1165"/>
        <s v="A1174"/>
        <s v="A1182"/>
        <s v="A1198"/>
        <s v="A1206"/>
        <s v="A1210"/>
        <s v="A1235"/>
        <s v="A1236"/>
        <s v="A1272"/>
        <s v="A1273"/>
        <s v="A1282"/>
        <s v="A1293"/>
        <s v="A1002"/>
        <s v="A1010"/>
        <s v="A1051"/>
        <s v="A1058"/>
        <s v="A1069"/>
        <s v="A1072"/>
        <s v="A1078"/>
        <s v="A1080"/>
        <s v="A1092"/>
        <s v="A1097"/>
        <s v="A1115"/>
        <s v="A1119"/>
        <s v="A1121"/>
        <s v="A1128"/>
        <s v="A1135"/>
        <s v="A1142"/>
        <s v="A1143"/>
        <s v="A1154"/>
        <s v="A1160"/>
        <s v="A1171"/>
        <s v="A1173"/>
        <s v="A1175"/>
        <s v="A1177"/>
        <s v="A1181"/>
        <s v="A1185"/>
        <s v="A1187"/>
        <s v="A1193"/>
        <s v="A1204"/>
        <s v="A1211"/>
        <s v="A1212"/>
        <s v="A1214"/>
        <s v="A1219"/>
        <s v="A1220"/>
        <s v="A1223"/>
        <s v="A1231"/>
        <s v="A1240"/>
        <s v="A1246"/>
        <s v="A1248"/>
        <s v="A1257"/>
        <s v="A1266"/>
        <s v="A1267"/>
        <s v="A1276"/>
        <s v="A1277"/>
        <s v="A1279"/>
        <s v="A1288"/>
        <s v="A1289"/>
        <s v="A1294"/>
        <s v="A1001"/>
        <s v="A1004"/>
        <s v="A1009"/>
        <s v="A1012"/>
        <s v="A1015"/>
        <s v="A1023"/>
        <s v="A1031"/>
        <s v="A1032"/>
        <s v="A1036"/>
        <s v="A1038"/>
        <s v="A1046"/>
        <s v="A1049"/>
        <s v="A1050"/>
        <s v="A1053"/>
        <s v="A1057"/>
        <s v="A1060"/>
        <s v="A1061"/>
        <s v="A1066"/>
        <s v="A1073"/>
        <s v="A1075"/>
        <s v="A1085"/>
        <s v="A1090"/>
        <s v="A1095"/>
        <s v="A1100"/>
        <s v="A1104"/>
        <s v="A1108"/>
        <s v="A1112"/>
        <s v="A1124"/>
        <s v="A1126"/>
        <s v="A1131"/>
        <s v="A1132"/>
        <s v="A1133"/>
        <s v="A1134"/>
        <s v="A1136"/>
        <s v="A1139"/>
        <s v="A1150"/>
        <s v="A1152"/>
        <s v="A1153"/>
        <s v="A1158"/>
        <s v="A1159"/>
        <s v="A1163"/>
        <s v="A1166"/>
        <s v="A1168"/>
        <s v="A1176"/>
        <s v="A1178"/>
        <s v="A1179"/>
        <s v="A1180"/>
        <s v="A1186"/>
        <s v="A1188"/>
        <s v="A1189"/>
        <s v="A1191"/>
        <s v="A1194"/>
        <s v="A1199"/>
        <s v="A1208"/>
        <s v="A1209"/>
        <s v="A1213"/>
        <s v="A1215"/>
        <s v="A1221"/>
        <s v="A1224"/>
        <s v="A1227"/>
        <s v="A1229"/>
        <s v="A1238"/>
        <s v="A1239"/>
        <s v="A1243"/>
        <s v="A1244"/>
        <s v="A1249"/>
        <s v="A1250"/>
        <s v="A1254"/>
        <s v="A1271"/>
        <s v="A1280"/>
        <s v="A1281"/>
        <s v="A1284"/>
        <s v="A1286"/>
        <s v="A1298"/>
        <s v="A1299"/>
        <s v="A1008"/>
        <s v="A1016"/>
        <s v="A1020"/>
        <s v="A1024"/>
        <s v="A1029"/>
        <s v="A1033"/>
        <s v="A1035"/>
        <s v="A1041"/>
        <s v="A1042"/>
        <s v="A1044"/>
        <s v="A1045"/>
        <s v="A1047"/>
        <s v="A1052"/>
        <s v="A1055"/>
        <s v="A1062"/>
        <s v="A1064"/>
        <s v="A1067"/>
        <s v="A1074"/>
        <s v="A1077"/>
        <s v="A1081"/>
        <s v="A1083"/>
        <s v="A1086"/>
        <s v="A1087"/>
        <s v="A1089"/>
        <s v="A1101"/>
        <s v="A1105"/>
        <s v="A1118"/>
        <s v="A1123"/>
        <s v="A1137"/>
        <s v="A1138"/>
        <s v="A1144"/>
        <s v="A1147"/>
        <s v="A1149"/>
        <s v="A1156"/>
        <s v="A1162"/>
        <s v="A1164"/>
        <s v="A1169"/>
        <s v="A1172"/>
        <s v="A1184"/>
        <s v="A1197"/>
        <s v="A1203"/>
        <s v="A1205"/>
        <s v="A1216"/>
        <s v="A1218"/>
        <s v="A1222"/>
        <s v="A1226"/>
        <s v="A1228"/>
        <s v="A1230"/>
        <s v="A1232"/>
        <s v="A1234"/>
        <s v="A1237"/>
        <s v="A1245"/>
        <s v="A1252"/>
        <s v="A1255"/>
        <s v="A1260"/>
        <s v="A1262"/>
        <s v="A1263"/>
        <s v="A1270"/>
        <s v="A1278"/>
        <s v="A1283"/>
        <s v="A1291"/>
        <s v="A1295"/>
        <s v="A1296"/>
        <s v="A1013"/>
        <s v="A1014"/>
        <s v="A1017"/>
        <s v="A1026"/>
        <s v="A1028"/>
        <s v="A1037"/>
        <s v="A1040"/>
        <s v="A1043"/>
        <s v="A1054"/>
        <s v="A1071"/>
        <s v="A1079"/>
        <s v="A1082"/>
        <s v="A1088"/>
        <s v="A1096"/>
        <s v="A1107"/>
        <s v="A1109"/>
        <s v="A1111"/>
        <s v="A1113"/>
        <s v="A1122"/>
        <s v="A1125"/>
        <s v="A1127"/>
        <s v="A1129"/>
        <s v="A1140"/>
        <s v="A1146"/>
        <s v="A1155"/>
        <s v="A1157"/>
        <s v="A1183"/>
        <s v="A1192"/>
        <s v="A1196"/>
        <s v="A1201"/>
        <s v="A1202"/>
        <s v="A1233"/>
        <s v="A1241"/>
        <s v="A1242"/>
        <s v="A1247"/>
        <s v="A1251"/>
        <s v="A1259"/>
        <s v="A1268"/>
        <s v="A1269"/>
        <s v="A1274"/>
        <s v="A1275"/>
        <s v="A1287"/>
        <s v="A1290"/>
        <s v="A1292"/>
        <s v="A1297"/>
        <s v="A1003"/>
        <s v="A1039"/>
        <s v="A1056"/>
        <s v="A1065"/>
        <s v="A1068"/>
        <s v="A1070"/>
        <s v="A1091"/>
        <s v="A1098"/>
        <s v="A1116"/>
        <s v="A1141"/>
        <s v="A1200"/>
        <s v="A1207"/>
        <s v="A1217"/>
        <s v="A1225"/>
        <s v="A1256"/>
        <s v="A1258"/>
        <s v="A1261"/>
        <s v="A1264"/>
        <s v="A1019"/>
        <s v="A1059"/>
        <s v="A1094"/>
        <s v="A1102"/>
        <s v="A1167"/>
        <s v="A1170"/>
        <s v="A1195"/>
      </sharedItems>
    </cacheField>
    <cacheField name="Branch" numFmtId="0">
      <sharedItems count="5">
        <s v="Delhi"/>
        <s v="Mumbai"/>
        <s v="Bangalore"/>
        <s v="Kolkata"/>
        <s v="Chennai"/>
      </sharedItems>
    </cacheField>
    <cacheField name="Sector" numFmtId="0">
      <sharedItems/>
    </cacheField>
    <cacheField name="Outstanding_Amount" numFmtId="0">
      <sharedItems containsSemiMixedTypes="0" containsString="0" containsNumber="1" containsInteger="1" minValue="56110" maxValue="1499904"/>
    </cacheField>
    <cacheField name="EMI_Delay_Days" numFmtId="0">
      <sharedItems containsSemiMixedTypes="0" containsString="0" containsNumber="1" containsInteger="1" minValue="0" maxValue="60"/>
    </cacheField>
    <cacheField name="Credit_Utilization_%" numFmtId="0">
      <sharedItems containsSemiMixedTypes="0" containsString="0" containsNumber="1" containsInteger="1" minValue="40" maxValue="100"/>
    </cacheField>
    <cacheField name="Sales_Trend" numFmtId="0">
      <sharedItems/>
    </cacheField>
    <cacheField name="Cheque_Bounce_Count" numFmtId="0">
      <sharedItems containsSemiMixedTypes="0" containsString="0" containsNumber="1" containsInteger="1" minValue="0" maxValue="5"/>
    </cacheField>
    <cacheField name="Risk_Category" numFmtId="0">
      <sharedItems/>
    </cacheField>
    <cacheField name="Payment_Delay_Risk" numFmtId="0">
      <sharedItems/>
    </cacheField>
    <cacheField name="Utilisation_Risk" numFmtId="0">
      <sharedItems/>
    </cacheField>
    <cacheField name="Sales_Risk" numFmtId="0">
      <sharedItems/>
    </cacheField>
    <cacheField name="Bounce_Risk" numFmtId="0">
      <sharedItems/>
    </cacheField>
    <cacheField name="Payment_Score" numFmtId="0">
      <sharedItems containsSemiMixedTypes="0" containsString="0" containsNumber="1" containsInteger="1" minValue="0" maxValue="2"/>
    </cacheField>
    <cacheField name="Utilisation_Score" numFmtId="0">
      <sharedItems containsSemiMixedTypes="0" containsString="0" containsNumber="1" containsInteger="1" minValue="0" maxValue="2"/>
    </cacheField>
    <cacheField name="Sales_Score" numFmtId="0">
      <sharedItems containsSemiMixedTypes="0" containsString="0" containsNumber="1" containsInteger="1" minValue="0" maxValue="2"/>
    </cacheField>
    <cacheField name="Bounce_Score" numFmtId="0">
      <sharedItems containsSemiMixedTypes="0" containsString="0" containsNumber="1" containsInteger="1" minValue="0" maxValue="2"/>
    </cacheField>
    <cacheField name="EWS Total Score" numFmtId="0">
      <sharedItems containsSemiMixedTypes="0" containsString="0" containsNumber="1" containsInteger="1" minValue="0" maxValue="8"/>
    </cacheField>
    <cacheField name="EWS_Risk_Level" numFmtId="0">
      <sharedItems count="3">
        <s v="High Risk"/>
        <s v="Medium Risk"/>
        <s v="Low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EHA SINGHAL" refreshedDate="46096.609546412037" createdVersion="4" refreshedVersion="4" minRefreshableVersion="3" recordCount="10">
  <cacheSource type="worksheet">
    <worksheetSource ref="A1:S11" sheet="Dataset"/>
  </cacheSource>
  <cacheFields count="19">
    <cacheField name="Account_ID" numFmtId="0">
      <sharedItems count="10">
        <s v="A1117"/>
        <s v="A1253"/>
        <s v="A1265"/>
        <s v="A1011"/>
        <s v="A1034"/>
        <s v="A1114"/>
        <s v="A1145"/>
        <s v="A1161"/>
        <s v="A1190"/>
        <s v="A1285"/>
      </sharedItems>
    </cacheField>
    <cacheField name="Branch" numFmtId="0">
      <sharedItems count="5">
        <s v="Delhi"/>
        <s v="Mumbai"/>
        <s v="Bangalore"/>
        <s v="Kolkata"/>
        <s v="Chennai"/>
      </sharedItems>
    </cacheField>
    <cacheField name="Sector" numFmtId="0">
      <sharedItems/>
    </cacheField>
    <cacheField name="Outstanding_Amount" numFmtId="0">
      <sharedItems containsSemiMixedTypes="0" containsString="0" containsNumber="1" containsInteger="1" minValue="115627" maxValue="1448939"/>
    </cacheField>
    <cacheField name="EMI_Delay_Days" numFmtId="0">
      <sharedItems containsSemiMixedTypes="0" containsString="0" containsNumber="1" containsInteger="1" minValue="14" maxValue="60"/>
    </cacheField>
    <cacheField name="Credit_Utilization_%" numFmtId="0">
      <sharedItems containsSemiMixedTypes="0" containsString="0" containsNumber="1" containsInteger="1" minValue="77" maxValue="96"/>
    </cacheField>
    <cacheField name="Sales_Trend" numFmtId="0">
      <sharedItems/>
    </cacheField>
    <cacheField name="Cheque_Bounce_Count" numFmtId="0">
      <sharedItems containsSemiMixedTypes="0" containsString="0" containsNumber="1" containsInteger="1" minValue="1" maxValue="4"/>
    </cacheField>
    <cacheField name="Risk_Category" numFmtId="0">
      <sharedItems/>
    </cacheField>
    <cacheField name="Payment_Delay_Risk" numFmtId="0">
      <sharedItems/>
    </cacheField>
    <cacheField name="Utilisation_Risk" numFmtId="0">
      <sharedItems/>
    </cacheField>
    <cacheField name="Sales_Risk" numFmtId="0">
      <sharedItems/>
    </cacheField>
    <cacheField name="Bounce_Risk" numFmtId="0">
      <sharedItems/>
    </cacheField>
    <cacheField name="Payment_Score" numFmtId="0">
      <sharedItems containsSemiMixedTypes="0" containsString="0" containsNumber="1" containsInteger="1" minValue="1" maxValue="2"/>
    </cacheField>
    <cacheField name="Utilisation_Score" numFmtId="0">
      <sharedItems containsSemiMixedTypes="0" containsString="0" containsNumber="1" containsInteger="1" minValue="1" maxValue="2"/>
    </cacheField>
    <cacheField name="Sales_Score" numFmtId="0">
      <sharedItems containsSemiMixedTypes="0" containsString="0" containsNumber="1" containsInteger="1" minValue="2" maxValue="2"/>
    </cacheField>
    <cacheField name="Bounce_Score" numFmtId="0">
      <sharedItems containsSemiMixedTypes="0" containsString="0" containsNumber="1" containsInteger="1" minValue="1" maxValue="2"/>
    </cacheField>
    <cacheField name="EWS Total Score" numFmtId="0">
      <sharedItems containsSemiMixedTypes="0" containsString="0" containsNumber="1" containsInteger="1" minValue="7" maxValue="8"/>
    </cacheField>
    <cacheField name="EWS_Risk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s v="Logistics"/>
    <n v="452622"/>
    <n v="35"/>
    <n v="95"/>
    <s v="Declining"/>
    <n v="3"/>
    <s v="Low"/>
    <s v="High"/>
    <s v="High"/>
    <s v="High"/>
    <s v="High"/>
    <n v="2"/>
    <n v="2"/>
    <n v="2"/>
    <n v="2"/>
    <n v="8"/>
    <x v="0"/>
  </r>
  <r>
    <x v="1"/>
    <x v="0"/>
    <s v="Services"/>
    <n v="696874"/>
    <n v="57"/>
    <n v="96"/>
    <s v="Declining"/>
    <n v="4"/>
    <s v="High"/>
    <s v="High"/>
    <s v="High"/>
    <s v="High"/>
    <s v="High"/>
    <n v="2"/>
    <n v="2"/>
    <n v="2"/>
    <n v="2"/>
    <n v="8"/>
    <x v="0"/>
  </r>
  <r>
    <x v="2"/>
    <x v="1"/>
    <s v="Logistics"/>
    <n v="814655"/>
    <n v="37"/>
    <n v="96"/>
    <s v="Declining"/>
    <n v="3"/>
    <s v="Low"/>
    <s v="High"/>
    <s v="High"/>
    <s v="High"/>
    <s v="High"/>
    <n v="2"/>
    <n v="2"/>
    <n v="2"/>
    <n v="2"/>
    <n v="8"/>
    <x v="0"/>
  </r>
  <r>
    <x v="3"/>
    <x v="0"/>
    <s v="Trading"/>
    <n v="226292"/>
    <n v="46"/>
    <n v="87"/>
    <s v="Declining"/>
    <n v="4"/>
    <s v="Low"/>
    <s v="High"/>
    <s v="Medium"/>
    <s v="High"/>
    <s v="High"/>
    <n v="2"/>
    <n v="1"/>
    <n v="2"/>
    <n v="2"/>
    <n v="7"/>
    <x v="0"/>
  </r>
  <r>
    <x v="4"/>
    <x v="2"/>
    <s v="Trading"/>
    <n v="229463"/>
    <n v="57"/>
    <n v="77"/>
    <s v="Declining"/>
    <n v="3"/>
    <s v="Medium"/>
    <s v="High"/>
    <s v="Medium"/>
    <s v="High"/>
    <s v="High"/>
    <n v="2"/>
    <n v="1"/>
    <n v="2"/>
    <n v="2"/>
    <n v="7"/>
    <x v="0"/>
  </r>
  <r>
    <x v="5"/>
    <x v="3"/>
    <s v="Retail"/>
    <n v="115627"/>
    <n v="54"/>
    <n v="88"/>
    <s v="Declining"/>
    <n v="3"/>
    <s v="High"/>
    <s v="High"/>
    <s v="Medium"/>
    <s v="High"/>
    <s v="High"/>
    <n v="2"/>
    <n v="1"/>
    <n v="2"/>
    <n v="2"/>
    <n v="7"/>
    <x v="0"/>
  </r>
  <r>
    <x v="6"/>
    <x v="1"/>
    <s v="Services"/>
    <n v="1013861"/>
    <n v="14"/>
    <n v="91"/>
    <s v="Declining"/>
    <n v="4"/>
    <s v="Medium"/>
    <s v="Medium"/>
    <s v="High"/>
    <s v="High"/>
    <s v="High"/>
    <n v="1"/>
    <n v="2"/>
    <n v="2"/>
    <n v="2"/>
    <n v="7"/>
    <x v="0"/>
  </r>
  <r>
    <x v="7"/>
    <x v="1"/>
    <s v="Logistics"/>
    <n v="1448939"/>
    <n v="14"/>
    <n v="91"/>
    <s v="Declining"/>
    <n v="3"/>
    <s v="Low"/>
    <s v="Medium"/>
    <s v="High"/>
    <s v="High"/>
    <s v="High"/>
    <n v="1"/>
    <n v="2"/>
    <n v="2"/>
    <n v="2"/>
    <n v="7"/>
    <x v="0"/>
  </r>
  <r>
    <x v="8"/>
    <x v="1"/>
    <s v="Retail"/>
    <n v="147517"/>
    <n v="43"/>
    <n v="77"/>
    <s v="Declining"/>
    <n v="4"/>
    <s v="Low"/>
    <s v="High"/>
    <s v="Medium"/>
    <s v="High"/>
    <s v="High"/>
    <n v="2"/>
    <n v="1"/>
    <n v="2"/>
    <n v="2"/>
    <n v="7"/>
    <x v="0"/>
  </r>
  <r>
    <x v="9"/>
    <x v="4"/>
    <s v="Retail"/>
    <n v="1354967"/>
    <n v="60"/>
    <n v="91"/>
    <s v="Declining"/>
    <n v="1"/>
    <s v="Low"/>
    <s v="High"/>
    <s v="High"/>
    <s v="High"/>
    <s v="Medium"/>
    <n v="2"/>
    <n v="2"/>
    <n v="2"/>
    <n v="1"/>
    <n v="7"/>
    <x v="0"/>
  </r>
  <r>
    <x v="10"/>
    <x v="2"/>
    <s v="Retail"/>
    <n v="1479670"/>
    <n v="58"/>
    <n v="99"/>
    <s v="Declining"/>
    <n v="0"/>
    <s v="High"/>
    <s v="High"/>
    <s v="High"/>
    <s v="High"/>
    <s v="Low"/>
    <n v="2"/>
    <n v="2"/>
    <n v="2"/>
    <n v="0"/>
    <n v="6"/>
    <x v="0"/>
  </r>
  <r>
    <x v="11"/>
    <x v="3"/>
    <s v="Services"/>
    <n v="917221"/>
    <n v="43"/>
    <n v="59"/>
    <s v="Declining"/>
    <n v="3"/>
    <s v="Low"/>
    <s v="High"/>
    <s v="Low"/>
    <s v="High"/>
    <s v="High"/>
    <n v="2"/>
    <n v="0"/>
    <n v="2"/>
    <n v="2"/>
    <n v="6"/>
    <x v="0"/>
  </r>
  <r>
    <x v="12"/>
    <x v="3"/>
    <s v="Manufacturing"/>
    <n v="178056"/>
    <n v="43"/>
    <n v="57"/>
    <s v="Declining"/>
    <n v="4"/>
    <s v="High"/>
    <s v="High"/>
    <s v="Low"/>
    <s v="High"/>
    <s v="High"/>
    <n v="2"/>
    <n v="0"/>
    <n v="2"/>
    <n v="2"/>
    <n v="6"/>
    <x v="0"/>
  </r>
  <r>
    <x v="13"/>
    <x v="4"/>
    <s v="Manufacturing"/>
    <n v="102395"/>
    <n v="46"/>
    <n v="92"/>
    <s v="Increasing"/>
    <n v="4"/>
    <s v="Low"/>
    <s v="High"/>
    <s v="High"/>
    <s v="Low"/>
    <s v="High"/>
    <n v="2"/>
    <n v="2"/>
    <n v="0"/>
    <n v="2"/>
    <n v="6"/>
    <x v="0"/>
  </r>
  <r>
    <x v="14"/>
    <x v="3"/>
    <s v="Services"/>
    <n v="1405987"/>
    <n v="36"/>
    <n v="70"/>
    <s v="Declining"/>
    <n v="3"/>
    <s v="Medium"/>
    <s v="High"/>
    <s v="Low"/>
    <s v="High"/>
    <s v="High"/>
    <n v="2"/>
    <n v="0"/>
    <n v="2"/>
    <n v="2"/>
    <n v="6"/>
    <x v="0"/>
  </r>
  <r>
    <x v="15"/>
    <x v="0"/>
    <s v="Manufacturing"/>
    <n v="403715"/>
    <n v="33"/>
    <n v="68"/>
    <s v="Declining"/>
    <n v="3"/>
    <s v="Medium"/>
    <s v="High"/>
    <s v="Low"/>
    <s v="High"/>
    <s v="High"/>
    <n v="2"/>
    <n v="0"/>
    <n v="2"/>
    <n v="2"/>
    <n v="6"/>
    <x v="0"/>
  </r>
  <r>
    <x v="16"/>
    <x v="3"/>
    <s v="Manufacturing"/>
    <n v="976138"/>
    <n v="36"/>
    <n v="72"/>
    <s v="Declining"/>
    <n v="3"/>
    <s v="Medium"/>
    <s v="High"/>
    <s v="Low"/>
    <s v="High"/>
    <s v="High"/>
    <n v="2"/>
    <n v="0"/>
    <n v="2"/>
    <n v="2"/>
    <n v="6"/>
    <x v="0"/>
  </r>
  <r>
    <x v="17"/>
    <x v="1"/>
    <s v="Retail"/>
    <n v="1246440"/>
    <n v="18"/>
    <n v="89"/>
    <s v="Declining"/>
    <n v="3"/>
    <s v="Low"/>
    <s v="Medium"/>
    <s v="Medium"/>
    <s v="High"/>
    <s v="High"/>
    <n v="1"/>
    <n v="1"/>
    <n v="2"/>
    <n v="2"/>
    <n v="6"/>
    <x v="0"/>
  </r>
  <r>
    <x v="18"/>
    <x v="2"/>
    <s v="Trading"/>
    <n v="1260181"/>
    <n v="51"/>
    <n v="97"/>
    <s v="Declining"/>
    <n v="0"/>
    <s v="High"/>
    <s v="High"/>
    <s v="High"/>
    <s v="High"/>
    <s v="Low"/>
    <n v="2"/>
    <n v="2"/>
    <n v="2"/>
    <n v="0"/>
    <n v="6"/>
    <x v="0"/>
  </r>
  <r>
    <x v="19"/>
    <x v="3"/>
    <s v="Retail"/>
    <n v="341123"/>
    <n v="43"/>
    <n v="75"/>
    <s v="Declining"/>
    <n v="5"/>
    <s v="Low"/>
    <s v="High"/>
    <s v="Low"/>
    <s v="High"/>
    <s v="High"/>
    <n v="2"/>
    <n v="0"/>
    <n v="2"/>
    <n v="2"/>
    <n v="6"/>
    <x v="0"/>
  </r>
  <r>
    <x v="20"/>
    <x v="2"/>
    <s v="Manufacturing"/>
    <n v="208946"/>
    <n v="31"/>
    <n v="71"/>
    <s v="Declining"/>
    <n v="3"/>
    <s v="High"/>
    <s v="High"/>
    <s v="Low"/>
    <s v="High"/>
    <s v="High"/>
    <n v="2"/>
    <n v="0"/>
    <n v="2"/>
    <n v="2"/>
    <n v="6"/>
    <x v="0"/>
  </r>
  <r>
    <x v="21"/>
    <x v="2"/>
    <s v="Logistics"/>
    <n v="1347242"/>
    <n v="58"/>
    <n v="67"/>
    <s v="Declining"/>
    <n v="5"/>
    <s v="Low"/>
    <s v="High"/>
    <s v="Low"/>
    <s v="High"/>
    <s v="High"/>
    <n v="2"/>
    <n v="0"/>
    <n v="2"/>
    <n v="2"/>
    <n v="6"/>
    <x v="0"/>
  </r>
  <r>
    <x v="22"/>
    <x v="3"/>
    <s v="Retail"/>
    <n v="1457088"/>
    <n v="41"/>
    <n v="63"/>
    <s v="Declining"/>
    <n v="5"/>
    <s v="High"/>
    <s v="High"/>
    <s v="Low"/>
    <s v="High"/>
    <s v="High"/>
    <n v="2"/>
    <n v="0"/>
    <n v="2"/>
    <n v="2"/>
    <n v="6"/>
    <x v="0"/>
  </r>
  <r>
    <x v="23"/>
    <x v="4"/>
    <s v="Services"/>
    <n v="1242863"/>
    <n v="51"/>
    <n v="100"/>
    <s v="Stable"/>
    <n v="5"/>
    <s v="Medium"/>
    <s v="High"/>
    <s v="High"/>
    <s v="Low"/>
    <s v="High"/>
    <n v="2"/>
    <n v="2"/>
    <n v="0"/>
    <n v="2"/>
    <n v="6"/>
    <x v="0"/>
  </r>
  <r>
    <x v="24"/>
    <x v="0"/>
    <s v="Logistics"/>
    <n v="465087"/>
    <n v="56"/>
    <n v="50"/>
    <s v="Declining"/>
    <n v="5"/>
    <s v="Medium"/>
    <s v="High"/>
    <s v="Low"/>
    <s v="High"/>
    <s v="High"/>
    <n v="2"/>
    <n v="0"/>
    <n v="2"/>
    <n v="2"/>
    <n v="6"/>
    <x v="0"/>
  </r>
  <r>
    <x v="25"/>
    <x v="4"/>
    <s v="Manufacturing"/>
    <n v="271167"/>
    <n v="8"/>
    <n v="95"/>
    <s v="Declining"/>
    <n v="3"/>
    <s v="Low"/>
    <s v="Low"/>
    <s v="High"/>
    <s v="High"/>
    <s v="High"/>
    <n v="0"/>
    <n v="2"/>
    <n v="2"/>
    <n v="2"/>
    <n v="6"/>
    <x v="0"/>
  </r>
  <r>
    <x v="26"/>
    <x v="3"/>
    <s v="Services"/>
    <n v="594886"/>
    <n v="38"/>
    <n v="67"/>
    <s v="Declining"/>
    <n v="3"/>
    <s v="Low"/>
    <s v="High"/>
    <s v="Low"/>
    <s v="High"/>
    <s v="High"/>
    <n v="2"/>
    <n v="0"/>
    <n v="2"/>
    <n v="2"/>
    <n v="6"/>
    <x v="0"/>
  </r>
  <r>
    <x v="27"/>
    <x v="3"/>
    <s v="Manufacturing"/>
    <n v="410645"/>
    <n v="34"/>
    <n v="61"/>
    <s v="Declining"/>
    <n v="5"/>
    <s v="Medium"/>
    <s v="High"/>
    <s v="Low"/>
    <s v="High"/>
    <s v="High"/>
    <n v="2"/>
    <n v="0"/>
    <n v="2"/>
    <n v="2"/>
    <n v="6"/>
    <x v="0"/>
  </r>
  <r>
    <x v="28"/>
    <x v="0"/>
    <s v="Trading"/>
    <n v="260969"/>
    <n v="33"/>
    <n v="54"/>
    <s v="Declining"/>
    <n v="4"/>
    <s v="High"/>
    <s v="High"/>
    <s v="Low"/>
    <s v="High"/>
    <s v="High"/>
    <n v="2"/>
    <n v="0"/>
    <n v="2"/>
    <n v="2"/>
    <n v="6"/>
    <x v="0"/>
  </r>
  <r>
    <x v="29"/>
    <x v="1"/>
    <s v="Services"/>
    <n v="65108"/>
    <n v="51"/>
    <n v="91"/>
    <s v="Declining"/>
    <n v="0"/>
    <s v="Medium"/>
    <s v="High"/>
    <s v="High"/>
    <s v="High"/>
    <s v="Low"/>
    <n v="2"/>
    <n v="2"/>
    <n v="2"/>
    <n v="0"/>
    <n v="6"/>
    <x v="0"/>
  </r>
  <r>
    <x v="30"/>
    <x v="0"/>
    <s v="Logistics"/>
    <n v="930499"/>
    <n v="46"/>
    <n v="94"/>
    <s v="Increasing"/>
    <n v="5"/>
    <s v="Medium"/>
    <s v="High"/>
    <s v="High"/>
    <s v="Low"/>
    <s v="High"/>
    <n v="2"/>
    <n v="2"/>
    <n v="0"/>
    <n v="2"/>
    <n v="6"/>
    <x v="0"/>
  </r>
  <r>
    <x v="31"/>
    <x v="1"/>
    <s v="Logistics"/>
    <n v="156964"/>
    <n v="35"/>
    <n v="63"/>
    <s v="Declining"/>
    <n v="4"/>
    <s v="Low"/>
    <s v="High"/>
    <s v="Low"/>
    <s v="High"/>
    <s v="High"/>
    <n v="2"/>
    <n v="0"/>
    <n v="2"/>
    <n v="2"/>
    <n v="6"/>
    <x v="0"/>
  </r>
  <r>
    <x v="32"/>
    <x v="1"/>
    <s v="Services"/>
    <n v="1215794"/>
    <n v="52"/>
    <n v="92"/>
    <s v="Stable"/>
    <n v="4"/>
    <s v="Low"/>
    <s v="High"/>
    <s v="High"/>
    <s v="Low"/>
    <s v="High"/>
    <n v="2"/>
    <n v="2"/>
    <n v="0"/>
    <n v="2"/>
    <n v="6"/>
    <x v="0"/>
  </r>
  <r>
    <x v="33"/>
    <x v="2"/>
    <s v="Retail"/>
    <n v="1151425"/>
    <n v="37"/>
    <n v="75"/>
    <s v="Declining"/>
    <n v="3"/>
    <s v="Medium"/>
    <s v="High"/>
    <s v="Low"/>
    <s v="High"/>
    <s v="High"/>
    <n v="2"/>
    <n v="0"/>
    <n v="2"/>
    <n v="2"/>
    <n v="6"/>
    <x v="0"/>
  </r>
  <r>
    <x v="34"/>
    <x v="0"/>
    <s v="Manufacturing"/>
    <n v="1499904"/>
    <n v="34"/>
    <n v="45"/>
    <s v="Declining"/>
    <n v="3"/>
    <s v="High"/>
    <s v="High"/>
    <s v="Low"/>
    <s v="High"/>
    <s v="High"/>
    <n v="2"/>
    <n v="0"/>
    <n v="2"/>
    <n v="2"/>
    <n v="6"/>
    <x v="0"/>
  </r>
  <r>
    <x v="35"/>
    <x v="2"/>
    <s v="Services"/>
    <n v="1491028"/>
    <n v="2"/>
    <n v="95"/>
    <s v="Declining"/>
    <n v="3"/>
    <s v="High"/>
    <s v="Low"/>
    <s v="High"/>
    <s v="High"/>
    <s v="High"/>
    <n v="0"/>
    <n v="2"/>
    <n v="2"/>
    <n v="2"/>
    <n v="6"/>
    <x v="0"/>
  </r>
  <r>
    <x v="36"/>
    <x v="3"/>
    <s v="Logistics"/>
    <n v="1273085"/>
    <n v="55"/>
    <n v="64"/>
    <s v="Declining"/>
    <n v="4"/>
    <s v="Medium"/>
    <s v="High"/>
    <s v="Low"/>
    <s v="High"/>
    <s v="High"/>
    <n v="2"/>
    <n v="0"/>
    <n v="2"/>
    <n v="2"/>
    <n v="6"/>
    <x v="0"/>
  </r>
  <r>
    <x v="37"/>
    <x v="1"/>
    <s v="Trading"/>
    <n v="686986"/>
    <n v="54"/>
    <n v="98"/>
    <s v="Stable"/>
    <n v="5"/>
    <s v="Medium"/>
    <s v="High"/>
    <s v="High"/>
    <s v="Low"/>
    <s v="High"/>
    <n v="2"/>
    <n v="2"/>
    <n v="0"/>
    <n v="2"/>
    <n v="6"/>
    <x v="0"/>
  </r>
  <r>
    <x v="38"/>
    <x v="4"/>
    <s v="Trading"/>
    <n v="764272"/>
    <n v="13"/>
    <n v="99"/>
    <s v="Declining"/>
    <n v="1"/>
    <s v="High"/>
    <s v="Medium"/>
    <s v="High"/>
    <s v="High"/>
    <s v="Medium"/>
    <n v="1"/>
    <n v="2"/>
    <n v="2"/>
    <n v="1"/>
    <n v="6"/>
    <x v="0"/>
  </r>
  <r>
    <x v="39"/>
    <x v="1"/>
    <s v="Manufacturing"/>
    <n v="1012517"/>
    <n v="47"/>
    <n v="50"/>
    <s v="Declining"/>
    <n v="3"/>
    <s v="Medium"/>
    <s v="High"/>
    <s v="Low"/>
    <s v="High"/>
    <s v="High"/>
    <n v="2"/>
    <n v="0"/>
    <n v="2"/>
    <n v="2"/>
    <n v="6"/>
    <x v="0"/>
  </r>
  <r>
    <x v="40"/>
    <x v="2"/>
    <s v="Services"/>
    <n v="1129570"/>
    <n v="30"/>
    <n v="82"/>
    <s v="Declining"/>
    <n v="3"/>
    <s v="High"/>
    <s v="Medium"/>
    <s v="Medium"/>
    <s v="High"/>
    <s v="High"/>
    <n v="1"/>
    <n v="1"/>
    <n v="2"/>
    <n v="2"/>
    <n v="6"/>
    <x v="0"/>
  </r>
  <r>
    <x v="41"/>
    <x v="4"/>
    <s v="Manufacturing"/>
    <n v="934596"/>
    <n v="48"/>
    <n v="95"/>
    <s v="Declining"/>
    <n v="0"/>
    <s v="High"/>
    <s v="High"/>
    <s v="High"/>
    <s v="High"/>
    <s v="Low"/>
    <n v="2"/>
    <n v="2"/>
    <n v="2"/>
    <n v="0"/>
    <n v="6"/>
    <x v="0"/>
  </r>
  <r>
    <x v="42"/>
    <x v="1"/>
    <s v="Manufacturing"/>
    <n v="695131"/>
    <n v="50"/>
    <n v="96"/>
    <s v="Declining"/>
    <n v="2"/>
    <s v="High"/>
    <s v="High"/>
    <s v="High"/>
    <s v="High"/>
    <s v="Low"/>
    <n v="2"/>
    <n v="2"/>
    <n v="2"/>
    <n v="0"/>
    <n v="6"/>
    <x v="0"/>
  </r>
  <r>
    <x v="43"/>
    <x v="3"/>
    <s v="Logistics"/>
    <n v="1068849"/>
    <n v="58"/>
    <n v="95"/>
    <s v="Increasing"/>
    <n v="4"/>
    <s v="High"/>
    <s v="High"/>
    <s v="High"/>
    <s v="Low"/>
    <s v="High"/>
    <n v="2"/>
    <n v="2"/>
    <n v="0"/>
    <n v="2"/>
    <n v="6"/>
    <x v="0"/>
  </r>
  <r>
    <x v="44"/>
    <x v="0"/>
    <s v="Trading"/>
    <n v="742044"/>
    <n v="57"/>
    <n v="92"/>
    <s v="Increasing"/>
    <n v="3"/>
    <s v="High"/>
    <s v="High"/>
    <s v="High"/>
    <s v="Low"/>
    <s v="High"/>
    <n v="2"/>
    <n v="2"/>
    <n v="0"/>
    <n v="2"/>
    <n v="6"/>
    <x v="0"/>
  </r>
  <r>
    <x v="45"/>
    <x v="3"/>
    <s v="Retail"/>
    <n v="912879"/>
    <n v="46"/>
    <n v="77"/>
    <s v="Stable"/>
    <n v="4"/>
    <s v="High"/>
    <s v="High"/>
    <s v="Medium"/>
    <s v="Low"/>
    <s v="High"/>
    <n v="2"/>
    <n v="1"/>
    <n v="0"/>
    <n v="2"/>
    <n v="5"/>
    <x v="0"/>
  </r>
  <r>
    <x v="46"/>
    <x v="2"/>
    <s v="Manufacturing"/>
    <n v="368273"/>
    <n v="20"/>
    <n v="52"/>
    <s v="Declining"/>
    <n v="3"/>
    <s v="Low"/>
    <s v="Medium"/>
    <s v="Low"/>
    <s v="High"/>
    <s v="High"/>
    <n v="1"/>
    <n v="0"/>
    <n v="2"/>
    <n v="2"/>
    <n v="5"/>
    <x v="0"/>
  </r>
  <r>
    <x v="47"/>
    <x v="0"/>
    <s v="Logistics"/>
    <n v="1350325"/>
    <n v="12"/>
    <n v="45"/>
    <s v="Declining"/>
    <n v="4"/>
    <s v="Low"/>
    <s v="Medium"/>
    <s v="Low"/>
    <s v="High"/>
    <s v="High"/>
    <n v="1"/>
    <n v="0"/>
    <n v="2"/>
    <n v="2"/>
    <n v="5"/>
    <x v="0"/>
  </r>
  <r>
    <x v="48"/>
    <x v="2"/>
    <s v="Retail"/>
    <n v="1361375"/>
    <n v="43"/>
    <n v="80"/>
    <s v="Declining"/>
    <n v="2"/>
    <s v="Medium"/>
    <s v="High"/>
    <s v="Medium"/>
    <s v="High"/>
    <s v="Low"/>
    <n v="2"/>
    <n v="1"/>
    <n v="2"/>
    <n v="0"/>
    <n v="5"/>
    <x v="0"/>
  </r>
  <r>
    <x v="49"/>
    <x v="2"/>
    <s v="Trading"/>
    <n v="155814"/>
    <n v="46"/>
    <n v="78"/>
    <s v="Declining"/>
    <n v="2"/>
    <s v="Low"/>
    <s v="High"/>
    <s v="Medium"/>
    <s v="High"/>
    <s v="Low"/>
    <n v="2"/>
    <n v="1"/>
    <n v="2"/>
    <n v="0"/>
    <n v="5"/>
    <x v="0"/>
  </r>
  <r>
    <x v="50"/>
    <x v="2"/>
    <s v="Logistics"/>
    <n v="973157"/>
    <n v="21"/>
    <n v="93"/>
    <s v="Increasing"/>
    <n v="4"/>
    <s v="Low"/>
    <s v="Medium"/>
    <s v="High"/>
    <s v="Low"/>
    <s v="High"/>
    <n v="1"/>
    <n v="2"/>
    <n v="0"/>
    <n v="2"/>
    <n v="5"/>
    <x v="0"/>
  </r>
  <r>
    <x v="51"/>
    <x v="0"/>
    <s v="Manufacturing"/>
    <n v="95350"/>
    <n v="14"/>
    <n v="57"/>
    <s v="Declining"/>
    <n v="3"/>
    <s v="Low"/>
    <s v="Medium"/>
    <s v="Low"/>
    <s v="High"/>
    <s v="High"/>
    <n v="1"/>
    <n v="0"/>
    <n v="2"/>
    <n v="2"/>
    <n v="5"/>
    <x v="0"/>
  </r>
  <r>
    <x v="52"/>
    <x v="0"/>
    <s v="Retail"/>
    <n v="889029"/>
    <n v="0"/>
    <n v="88"/>
    <s v="Declining"/>
    <n v="3"/>
    <s v="Low"/>
    <s v="Low"/>
    <s v="Medium"/>
    <s v="High"/>
    <s v="High"/>
    <n v="0"/>
    <n v="1"/>
    <n v="2"/>
    <n v="2"/>
    <n v="5"/>
    <x v="0"/>
  </r>
  <r>
    <x v="53"/>
    <x v="0"/>
    <s v="Retail"/>
    <n v="835649"/>
    <n v="36"/>
    <n v="89"/>
    <s v="Stable"/>
    <n v="4"/>
    <s v="High"/>
    <s v="High"/>
    <s v="Medium"/>
    <s v="Low"/>
    <s v="High"/>
    <n v="2"/>
    <n v="1"/>
    <n v="0"/>
    <n v="2"/>
    <n v="5"/>
    <x v="0"/>
  </r>
  <r>
    <x v="54"/>
    <x v="3"/>
    <s v="Trading"/>
    <n v="324875"/>
    <n v="33"/>
    <n v="85"/>
    <s v="Stable"/>
    <n v="3"/>
    <s v="High"/>
    <s v="High"/>
    <s v="Medium"/>
    <s v="Low"/>
    <s v="High"/>
    <n v="2"/>
    <n v="1"/>
    <n v="0"/>
    <n v="2"/>
    <n v="5"/>
    <x v="0"/>
  </r>
  <r>
    <x v="55"/>
    <x v="2"/>
    <s v="Retail"/>
    <n v="972315"/>
    <n v="27"/>
    <n v="71"/>
    <s v="Declining"/>
    <n v="5"/>
    <s v="Low"/>
    <s v="Medium"/>
    <s v="Low"/>
    <s v="High"/>
    <s v="High"/>
    <n v="1"/>
    <n v="0"/>
    <n v="2"/>
    <n v="2"/>
    <n v="5"/>
    <x v="0"/>
  </r>
  <r>
    <x v="56"/>
    <x v="2"/>
    <s v="Retail"/>
    <n v="98590"/>
    <n v="30"/>
    <n v="100"/>
    <s v="Stable"/>
    <n v="3"/>
    <s v="Medium"/>
    <s v="Medium"/>
    <s v="High"/>
    <s v="Low"/>
    <s v="High"/>
    <n v="1"/>
    <n v="2"/>
    <n v="0"/>
    <n v="2"/>
    <n v="5"/>
    <x v="0"/>
  </r>
  <r>
    <x v="57"/>
    <x v="1"/>
    <s v="Retail"/>
    <n v="1022026"/>
    <n v="51"/>
    <n v="100"/>
    <s v="Increasing"/>
    <n v="1"/>
    <s v="High"/>
    <s v="High"/>
    <s v="High"/>
    <s v="Low"/>
    <s v="Medium"/>
    <n v="2"/>
    <n v="2"/>
    <n v="0"/>
    <n v="1"/>
    <n v="5"/>
    <x v="0"/>
  </r>
  <r>
    <x v="58"/>
    <x v="4"/>
    <s v="Services"/>
    <n v="720035"/>
    <n v="39"/>
    <n v="54"/>
    <s v="Declining"/>
    <n v="1"/>
    <s v="Medium"/>
    <s v="High"/>
    <s v="Low"/>
    <s v="High"/>
    <s v="Medium"/>
    <n v="2"/>
    <n v="0"/>
    <n v="2"/>
    <n v="1"/>
    <n v="5"/>
    <x v="0"/>
  </r>
  <r>
    <x v="59"/>
    <x v="4"/>
    <s v="Trading"/>
    <n v="955466"/>
    <n v="24"/>
    <n v="71"/>
    <s v="Declining"/>
    <n v="3"/>
    <s v="Low"/>
    <s v="Medium"/>
    <s v="Low"/>
    <s v="High"/>
    <s v="High"/>
    <n v="1"/>
    <n v="0"/>
    <n v="2"/>
    <n v="2"/>
    <n v="5"/>
    <x v="0"/>
  </r>
  <r>
    <x v="60"/>
    <x v="3"/>
    <s v="Services"/>
    <n v="338314"/>
    <n v="35"/>
    <n v="76"/>
    <s v="Declining"/>
    <n v="0"/>
    <s v="Low"/>
    <s v="High"/>
    <s v="Medium"/>
    <s v="High"/>
    <s v="Low"/>
    <n v="2"/>
    <n v="1"/>
    <n v="2"/>
    <n v="0"/>
    <n v="5"/>
    <x v="0"/>
  </r>
  <r>
    <x v="61"/>
    <x v="3"/>
    <s v="Retail"/>
    <n v="1389376"/>
    <n v="13"/>
    <n v="72"/>
    <s v="Declining"/>
    <n v="5"/>
    <s v="Low"/>
    <s v="Medium"/>
    <s v="Low"/>
    <s v="High"/>
    <s v="High"/>
    <n v="1"/>
    <n v="0"/>
    <n v="2"/>
    <n v="2"/>
    <n v="5"/>
    <x v="0"/>
  </r>
  <r>
    <x v="62"/>
    <x v="4"/>
    <s v="Services"/>
    <n v="1383232"/>
    <n v="30"/>
    <n v="100"/>
    <s v="Stable"/>
    <n v="3"/>
    <s v="Medium"/>
    <s v="Medium"/>
    <s v="High"/>
    <s v="Low"/>
    <s v="High"/>
    <n v="1"/>
    <n v="2"/>
    <n v="0"/>
    <n v="2"/>
    <n v="5"/>
    <x v="0"/>
  </r>
  <r>
    <x v="63"/>
    <x v="2"/>
    <s v="Trading"/>
    <n v="635650"/>
    <n v="33"/>
    <n v="92"/>
    <s v="Stable"/>
    <n v="1"/>
    <s v="High"/>
    <s v="High"/>
    <s v="High"/>
    <s v="Low"/>
    <s v="Medium"/>
    <n v="2"/>
    <n v="2"/>
    <n v="0"/>
    <n v="1"/>
    <n v="5"/>
    <x v="0"/>
  </r>
  <r>
    <x v="64"/>
    <x v="2"/>
    <s v="Services"/>
    <n v="1378199"/>
    <n v="58"/>
    <n v="55"/>
    <s v="Declining"/>
    <n v="1"/>
    <s v="Medium"/>
    <s v="High"/>
    <s v="Low"/>
    <s v="High"/>
    <s v="Medium"/>
    <n v="2"/>
    <n v="0"/>
    <n v="2"/>
    <n v="1"/>
    <n v="5"/>
    <x v="0"/>
  </r>
  <r>
    <x v="65"/>
    <x v="0"/>
    <s v="Logistics"/>
    <n v="343851"/>
    <n v="6"/>
    <n v="85"/>
    <s v="Declining"/>
    <n v="4"/>
    <s v="Medium"/>
    <s v="Low"/>
    <s v="Medium"/>
    <s v="High"/>
    <s v="High"/>
    <n v="0"/>
    <n v="1"/>
    <n v="2"/>
    <n v="2"/>
    <n v="5"/>
    <x v="0"/>
  </r>
  <r>
    <x v="66"/>
    <x v="3"/>
    <s v="Services"/>
    <n v="571309"/>
    <n v="15"/>
    <n v="54"/>
    <s v="Declining"/>
    <n v="3"/>
    <s v="Low"/>
    <s v="Medium"/>
    <s v="Low"/>
    <s v="High"/>
    <s v="High"/>
    <n v="1"/>
    <n v="0"/>
    <n v="2"/>
    <n v="2"/>
    <n v="5"/>
    <x v="0"/>
  </r>
  <r>
    <x v="67"/>
    <x v="4"/>
    <s v="Services"/>
    <n v="1000878"/>
    <n v="47"/>
    <n v="83"/>
    <s v="Increasing"/>
    <n v="5"/>
    <s v="High"/>
    <s v="High"/>
    <s v="Medium"/>
    <s v="Low"/>
    <s v="High"/>
    <n v="2"/>
    <n v="1"/>
    <n v="0"/>
    <n v="2"/>
    <n v="5"/>
    <x v="0"/>
  </r>
  <r>
    <x v="68"/>
    <x v="4"/>
    <s v="Manufacturing"/>
    <n v="131246"/>
    <n v="52"/>
    <n v="82"/>
    <s v="Declining"/>
    <n v="0"/>
    <s v="Low"/>
    <s v="High"/>
    <s v="Medium"/>
    <s v="High"/>
    <s v="Low"/>
    <n v="2"/>
    <n v="1"/>
    <n v="2"/>
    <n v="0"/>
    <n v="5"/>
    <x v="0"/>
  </r>
  <r>
    <x v="69"/>
    <x v="3"/>
    <s v="Manufacturing"/>
    <n v="272110"/>
    <n v="53"/>
    <n v="54"/>
    <s v="Declining"/>
    <n v="1"/>
    <s v="Medium"/>
    <s v="High"/>
    <s v="Low"/>
    <s v="High"/>
    <s v="Medium"/>
    <n v="2"/>
    <n v="0"/>
    <n v="2"/>
    <n v="1"/>
    <n v="5"/>
    <x v="0"/>
  </r>
  <r>
    <x v="70"/>
    <x v="4"/>
    <s v="Logistics"/>
    <n v="1218388"/>
    <n v="45"/>
    <n v="72"/>
    <s v="Declining"/>
    <n v="1"/>
    <s v="Low"/>
    <s v="High"/>
    <s v="Low"/>
    <s v="High"/>
    <s v="Medium"/>
    <n v="2"/>
    <n v="0"/>
    <n v="2"/>
    <n v="1"/>
    <n v="5"/>
    <x v="0"/>
  </r>
  <r>
    <x v="71"/>
    <x v="0"/>
    <s v="Retail"/>
    <n v="260562"/>
    <n v="22"/>
    <n v="68"/>
    <s v="Declining"/>
    <n v="3"/>
    <s v="Medium"/>
    <s v="Medium"/>
    <s v="Low"/>
    <s v="High"/>
    <s v="High"/>
    <n v="1"/>
    <n v="0"/>
    <n v="2"/>
    <n v="2"/>
    <n v="5"/>
    <x v="0"/>
  </r>
  <r>
    <x v="72"/>
    <x v="4"/>
    <s v="Retail"/>
    <n v="335335"/>
    <n v="21"/>
    <n v="93"/>
    <s v="Declining"/>
    <n v="2"/>
    <s v="Medium"/>
    <s v="Medium"/>
    <s v="High"/>
    <s v="High"/>
    <s v="Low"/>
    <n v="1"/>
    <n v="2"/>
    <n v="2"/>
    <n v="0"/>
    <n v="5"/>
    <x v="0"/>
  </r>
  <r>
    <x v="73"/>
    <x v="4"/>
    <s v="Manufacturing"/>
    <n v="1340381"/>
    <n v="7"/>
    <n v="97"/>
    <s v="Declining"/>
    <n v="1"/>
    <s v="Low"/>
    <s v="Low"/>
    <s v="High"/>
    <s v="High"/>
    <s v="Medium"/>
    <n v="0"/>
    <n v="2"/>
    <n v="2"/>
    <n v="1"/>
    <n v="5"/>
    <x v="0"/>
  </r>
  <r>
    <x v="74"/>
    <x v="0"/>
    <s v="Logistics"/>
    <n v="691341"/>
    <n v="35"/>
    <n v="85"/>
    <s v="Increasing"/>
    <n v="3"/>
    <s v="High"/>
    <s v="High"/>
    <s v="Medium"/>
    <s v="Low"/>
    <s v="High"/>
    <n v="2"/>
    <n v="1"/>
    <n v="0"/>
    <n v="2"/>
    <n v="5"/>
    <x v="0"/>
  </r>
  <r>
    <x v="75"/>
    <x v="1"/>
    <s v="Services"/>
    <n v="1422070"/>
    <n v="9"/>
    <n v="94"/>
    <s v="Declining"/>
    <n v="1"/>
    <s v="Medium"/>
    <s v="Low"/>
    <s v="High"/>
    <s v="High"/>
    <s v="Medium"/>
    <n v="0"/>
    <n v="2"/>
    <n v="2"/>
    <n v="1"/>
    <n v="5"/>
    <x v="0"/>
  </r>
  <r>
    <x v="76"/>
    <x v="0"/>
    <s v="Manufacturing"/>
    <n v="566130"/>
    <n v="17"/>
    <n v="94"/>
    <s v="Stable"/>
    <n v="3"/>
    <s v="Low"/>
    <s v="Medium"/>
    <s v="High"/>
    <s v="Low"/>
    <s v="High"/>
    <n v="1"/>
    <n v="2"/>
    <n v="0"/>
    <n v="2"/>
    <n v="5"/>
    <x v="0"/>
  </r>
  <r>
    <x v="77"/>
    <x v="4"/>
    <s v="Manufacturing"/>
    <n v="379773"/>
    <n v="53"/>
    <n v="77"/>
    <s v="Stable"/>
    <n v="5"/>
    <s v="High"/>
    <s v="High"/>
    <s v="Medium"/>
    <s v="Low"/>
    <s v="High"/>
    <n v="2"/>
    <n v="1"/>
    <n v="0"/>
    <n v="2"/>
    <n v="5"/>
    <x v="0"/>
  </r>
  <r>
    <x v="78"/>
    <x v="2"/>
    <s v="Logistics"/>
    <n v="1044886"/>
    <n v="20"/>
    <n v="68"/>
    <s v="Declining"/>
    <n v="4"/>
    <s v="Low"/>
    <s v="Medium"/>
    <s v="Low"/>
    <s v="High"/>
    <s v="High"/>
    <n v="1"/>
    <n v="0"/>
    <n v="2"/>
    <n v="2"/>
    <n v="5"/>
    <x v="0"/>
  </r>
  <r>
    <x v="79"/>
    <x v="0"/>
    <s v="Trading"/>
    <n v="228984"/>
    <n v="38"/>
    <n v="57"/>
    <s v="Declining"/>
    <n v="1"/>
    <s v="Low"/>
    <s v="High"/>
    <s v="Low"/>
    <s v="High"/>
    <s v="Medium"/>
    <n v="2"/>
    <n v="0"/>
    <n v="2"/>
    <n v="1"/>
    <n v="5"/>
    <x v="0"/>
  </r>
  <r>
    <x v="80"/>
    <x v="4"/>
    <s v="Manufacturing"/>
    <n v="1434195"/>
    <n v="32"/>
    <n v="77"/>
    <s v="Increasing"/>
    <n v="5"/>
    <s v="Low"/>
    <s v="High"/>
    <s v="Medium"/>
    <s v="Low"/>
    <s v="High"/>
    <n v="2"/>
    <n v="1"/>
    <n v="0"/>
    <n v="2"/>
    <n v="5"/>
    <x v="0"/>
  </r>
  <r>
    <x v="81"/>
    <x v="0"/>
    <s v="Logistics"/>
    <n v="172328"/>
    <n v="19"/>
    <n v="48"/>
    <s v="Declining"/>
    <n v="3"/>
    <s v="Medium"/>
    <s v="Medium"/>
    <s v="Low"/>
    <s v="High"/>
    <s v="High"/>
    <n v="1"/>
    <n v="0"/>
    <n v="2"/>
    <n v="2"/>
    <n v="5"/>
    <x v="0"/>
  </r>
  <r>
    <x v="82"/>
    <x v="0"/>
    <s v="Services"/>
    <n v="319931"/>
    <n v="55"/>
    <n v="75"/>
    <s v="Declining"/>
    <n v="1"/>
    <s v="Medium"/>
    <s v="High"/>
    <s v="Low"/>
    <s v="High"/>
    <s v="Medium"/>
    <n v="2"/>
    <n v="0"/>
    <n v="2"/>
    <n v="1"/>
    <n v="5"/>
    <x v="0"/>
  </r>
  <r>
    <x v="83"/>
    <x v="4"/>
    <s v="Services"/>
    <n v="1136683"/>
    <n v="25"/>
    <n v="67"/>
    <s v="Declining"/>
    <n v="4"/>
    <s v="High"/>
    <s v="Medium"/>
    <s v="Low"/>
    <s v="High"/>
    <s v="High"/>
    <n v="1"/>
    <n v="0"/>
    <n v="2"/>
    <n v="2"/>
    <n v="5"/>
    <x v="0"/>
  </r>
  <r>
    <x v="84"/>
    <x v="0"/>
    <s v="Logistics"/>
    <n v="1379348"/>
    <n v="50"/>
    <n v="100"/>
    <s v="Increasing"/>
    <n v="1"/>
    <s v="High"/>
    <s v="High"/>
    <s v="High"/>
    <s v="Low"/>
    <s v="Medium"/>
    <n v="2"/>
    <n v="2"/>
    <n v="0"/>
    <n v="1"/>
    <n v="5"/>
    <x v="0"/>
  </r>
  <r>
    <x v="85"/>
    <x v="1"/>
    <s v="Retail"/>
    <n v="216200"/>
    <n v="13"/>
    <n v="92"/>
    <s v="Declining"/>
    <n v="0"/>
    <s v="Low"/>
    <s v="Medium"/>
    <s v="High"/>
    <s v="High"/>
    <s v="Low"/>
    <n v="1"/>
    <n v="2"/>
    <n v="2"/>
    <n v="0"/>
    <n v="5"/>
    <x v="0"/>
  </r>
  <r>
    <x v="86"/>
    <x v="1"/>
    <s v="Logistics"/>
    <n v="343373"/>
    <n v="33"/>
    <n v="80"/>
    <s v="Stable"/>
    <n v="3"/>
    <s v="High"/>
    <s v="High"/>
    <s v="Medium"/>
    <s v="Low"/>
    <s v="High"/>
    <n v="2"/>
    <n v="1"/>
    <n v="0"/>
    <n v="2"/>
    <n v="5"/>
    <x v="0"/>
  </r>
  <r>
    <x v="87"/>
    <x v="4"/>
    <s v="Manufacturing"/>
    <n v="421916"/>
    <n v="10"/>
    <n v="88"/>
    <s v="Declining"/>
    <n v="3"/>
    <s v="High"/>
    <s v="Low"/>
    <s v="Medium"/>
    <s v="High"/>
    <s v="High"/>
    <n v="0"/>
    <n v="1"/>
    <n v="2"/>
    <n v="2"/>
    <n v="5"/>
    <x v="0"/>
  </r>
  <r>
    <x v="88"/>
    <x v="4"/>
    <s v="Trading"/>
    <n v="993310"/>
    <n v="43"/>
    <n v="60"/>
    <s v="Declining"/>
    <n v="1"/>
    <s v="High"/>
    <s v="High"/>
    <s v="Low"/>
    <s v="High"/>
    <s v="Medium"/>
    <n v="2"/>
    <n v="0"/>
    <n v="2"/>
    <n v="1"/>
    <n v="5"/>
    <x v="0"/>
  </r>
  <r>
    <x v="89"/>
    <x v="2"/>
    <s v="Retail"/>
    <n v="1145997"/>
    <n v="32"/>
    <n v="84"/>
    <s v="Stable"/>
    <n v="4"/>
    <s v="Low"/>
    <s v="High"/>
    <s v="Medium"/>
    <s v="Low"/>
    <s v="High"/>
    <n v="2"/>
    <n v="1"/>
    <n v="0"/>
    <n v="2"/>
    <n v="5"/>
    <x v="0"/>
  </r>
  <r>
    <x v="90"/>
    <x v="2"/>
    <s v="Services"/>
    <n v="596313"/>
    <n v="20"/>
    <n v="96"/>
    <s v="Declining"/>
    <n v="2"/>
    <s v="Medium"/>
    <s v="Medium"/>
    <s v="High"/>
    <s v="High"/>
    <s v="Low"/>
    <n v="1"/>
    <n v="2"/>
    <n v="2"/>
    <n v="0"/>
    <n v="5"/>
    <x v="0"/>
  </r>
  <r>
    <x v="91"/>
    <x v="1"/>
    <s v="Services"/>
    <n v="57001"/>
    <n v="17"/>
    <n v="45"/>
    <s v="Declining"/>
    <n v="5"/>
    <s v="Low"/>
    <s v="Medium"/>
    <s v="Low"/>
    <s v="High"/>
    <s v="High"/>
    <n v="1"/>
    <n v="0"/>
    <n v="2"/>
    <n v="2"/>
    <n v="5"/>
    <x v="0"/>
  </r>
  <r>
    <x v="92"/>
    <x v="4"/>
    <s v="Retail"/>
    <n v="688272"/>
    <n v="11"/>
    <n v="94"/>
    <s v="Increasing"/>
    <n v="1"/>
    <s v="High"/>
    <s v="Medium"/>
    <s v="High"/>
    <s v="Low"/>
    <s v="Medium"/>
    <n v="1"/>
    <n v="2"/>
    <n v="0"/>
    <n v="1"/>
    <n v="4"/>
    <x v="1"/>
  </r>
  <r>
    <x v="93"/>
    <x v="1"/>
    <s v="Trading"/>
    <n v="1239589"/>
    <n v="43"/>
    <n v="70"/>
    <s v="Increasing"/>
    <n v="3"/>
    <s v="High"/>
    <s v="High"/>
    <s v="Low"/>
    <s v="Low"/>
    <s v="High"/>
    <n v="2"/>
    <n v="0"/>
    <n v="0"/>
    <n v="2"/>
    <n v="4"/>
    <x v="1"/>
  </r>
  <r>
    <x v="94"/>
    <x v="4"/>
    <s v="Trading"/>
    <n v="471796"/>
    <n v="57"/>
    <n v="63"/>
    <s v="Increasing"/>
    <n v="5"/>
    <s v="High"/>
    <s v="High"/>
    <s v="Low"/>
    <s v="Low"/>
    <s v="High"/>
    <n v="2"/>
    <n v="0"/>
    <n v="0"/>
    <n v="2"/>
    <n v="4"/>
    <x v="1"/>
  </r>
  <r>
    <x v="95"/>
    <x v="3"/>
    <s v="Manufacturing"/>
    <n v="1061585"/>
    <n v="60"/>
    <n v="69"/>
    <s v="Declining"/>
    <n v="2"/>
    <s v="Low"/>
    <s v="High"/>
    <s v="Low"/>
    <s v="High"/>
    <s v="Low"/>
    <n v="2"/>
    <n v="0"/>
    <n v="2"/>
    <n v="0"/>
    <n v="4"/>
    <x v="1"/>
  </r>
  <r>
    <x v="96"/>
    <x v="4"/>
    <s v="Retail"/>
    <n v="243852"/>
    <n v="22"/>
    <n v="88"/>
    <s v="Increasing"/>
    <n v="3"/>
    <s v="Low"/>
    <s v="Medium"/>
    <s v="Medium"/>
    <s v="Low"/>
    <s v="High"/>
    <n v="1"/>
    <n v="1"/>
    <n v="0"/>
    <n v="2"/>
    <n v="4"/>
    <x v="1"/>
  </r>
  <r>
    <x v="97"/>
    <x v="0"/>
    <s v="Services"/>
    <n v="1341333"/>
    <n v="1"/>
    <n v="92"/>
    <s v="Increasing"/>
    <n v="3"/>
    <s v="Medium"/>
    <s v="Low"/>
    <s v="High"/>
    <s v="Low"/>
    <s v="High"/>
    <n v="0"/>
    <n v="2"/>
    <n v="0"/>
    <n v="2"/>
    <n v="4"/>
    <x v="1"/>
  </r>
  <r>
    <x v="98"/>
    <x v="2"/>
    <s v="Logistics"/>
    <n v="1495951"/>
    <n v="8"/>
    <n v="85"/>
    <s v="Declining"/>
    <n v="1"/>
    <s v="Low"/>
    <s v="Low"/>
    <s v="Medium"/>
    <s v="High"/>
    <s v="Medium"/>
    <n v="0"/>
    <n v="1"/>
    <n v="2"/>
    <n v="1"/>
    <n v="4"/>
    <x v="1"/>
  </r>
  <r>
    <x v="99"/>
    <x v="0"/>
    <s v="Trading"/>
    <n v="1191411"/>
    <n v="36"/>
    <n v="98"/>
    <s v="Increasing"/>
    <n v="0"/>
    <s v="High"/>
    <s v="High"/>
    <s v="High"/>
    <s v="Low"/>
    <s v="Low"/>
    <n v="2"/>
    <n v="2"/>
    <n v="0"/>
    <n v="0"/>
    <n v="4"/>
    <x v="1"/>
  </r>
  <r>
    <x v="100"/>
    <x v="4"/>
    <s v="Manufacturing"/>
    <n v="603142"/>
    <n v="50"/>
    <n v="51"/>
    <s v="Increasing"/>
    <n v="3"/>
    <s v="Low"/>
    <s v="High"/>
    <s v="Low"/>
    <s v="Low"/>
    <s v="High"/>
    <n v="2"/>
    <n v="0"/>
    <n v="0"/>
    <n v="2"/>
    <n v="4"/>
    <x v="1"/>
  </r>
  <r>
    <x v="101"/>
    <x v="4"/>
    <s v="Manufacturing"/>
    <n v="840018"/>
    <n v="9"/>
    <n v="56"/>
    <s v="Declining"/>
    <n v="4"/>
    <s v="Medium"/>
    <s v="Low"/>
    <s v="Low"/>
    <s v="High"/>
    <s v="High"/>
    <n v="0"/>
    <n v="0"/>
    <n v="2"/>
    <n v="2"/>
    <n v="4"/>
    <x v="1"/>
  </r>
  <r>
    <x v="102"/>
    <x v="0"/>
    <s v="Services"/>
    <n v="275359"/>
    <n v="31"/>
    <n v="72"/>
    <s v="Stable"/>
    <n v="4"/>
    <s v="Medium"/>
    <s v="High"/>
    <s v="Low"/>
    <s v="Low"/>
    <s v="High"/>
    <n v="2"/>
    <n v="0"/>
    <n v="0"/>
    <n v="2"/>
    <n v="4"/>
    <x v="1"/>
  </r>
  <r>
    <x v="103"/>
    <x v="4"/>
    <s v="Manufacturing"/>
    <n v="714437"/>
    <n v="31"/>
    <n v="59"/>
    <s v="Declining"/>
    <n v="0"/>
    <s v="Medium"/>
    <s v="High"/>
    <s v="Low"/>
    <s v="High"/>
    <s v="Low"/>
    <n v="2"/>
    <n v="0"/>
    <n v="2"/>
    <n v="0"/>
    <n v="4"/>
    <x v="1"/>
  </r>
  <r>
    <x v="104"/>
    <x v="2"/>
    <s v="Retail"/>
    <n v="1209149"/>
    <n v="58"/>
    <n v="75"/>
    <s v="Stable"/>
    <n v="4"/>
    <s v="Medium"/>
    <s v="High"/>
    <s v="Low"/>
    <s v="Low"/>
    <s v="High"/>
    <n v="2"/>
    <n v="0"/>
    <n v="0"/>
    <n v="2"/>
    <n v="4"/>
    <x v="1"/>
  </r>
  <r>
    <x v="105"/>
    <x v="3"/>
    <s v="Retail"/>
    <n v="237309"/>
    <n v="25"/>
    <n v="81"/>
    <s v="Stable"/>
    <n v="3"/>
    <s v="High"/>
    <s v="Medium"/>
    <s v="Medium"/>
    <s v="Low"/>
    <s v="High"/>
    <n v="1"/>
    <n v="1"/>
    <n v="0"/>
    <n v="2"/>
    <n v="4"/>
    <x v="1"/>
  </r>
  <r>
    <x v="106"/>
    <x v="0"/>
    <s v="Retail"/>
    <n v="299926"/>
    <n v="55"/>
    <n v="57"/>
    <s v="Increasing"/>
    <n v="5"/>
    <s v="Medium"/>
    <s v="High"/>
    <s v="Low"/>
    <s v="Low"/>
    <s v="High"/>
    <n v="2"/>
    <n v="0"/>
    <n v="0"/>
    <n v="2"/>
    <n v="4"/>
    <x v="1"/>
  </r>
  <r>
    <x v="107"/>
    <x v="2"/>
    <s v="Logistics"/>
    <n v="1298825"/>
    <n v="36"/>
    <n v="58"/>
    <s v="Declining"/>
    <n v="2"/>
    <s v="Low"/>
    <s v="High"/>
    <s v="Low"/>
    <s v="High"/>
    <s v="Low"/>
    <n v="2"/>
    <n v="0"/>
    <n v="2"/>
    <n v="0"/>
    <n v="4"/>
    <x v="1"/>
  </r>
  <r>
    <x v="108"/>
    <x v="3"/>
    <s v="Retail"/>
    <n v="421822"/>
    <n v="52"/>
    <n v="50"/>
    <s v="Stable"/>
    <n v="3"/>
    <s v="Low"/>
    <s v="High"/>
    <s v="Low"/>
    <s v="Low"/>
    <s v="High"/>
    <n v="2"/>
    <n v="0"/>
    <n v="0"/>
    <n v="2"/>
    <n v="4"/>
    <x v="1"/>
  </r>
  <r>
    <x v="109"/>
    <x v="3"/>
    <s v="Manufacturing"/>
    <n v="1387597"/>
    <n v="49"/>
    <n v="40"/>
    <s v="Declining"/>
    <n v="0"/>
    <s v="High"/>
    <s v="High"/>
    <s v="Low"/>
    <s v="High"/>
    <s v="Low"/>
    <n v="2"/>
    <n v="0"/>
    <n v="2"/>
    <n v="0"/>
    <n v="4"/>
    <x v="1"/>
  </r>
  <r>
    <x v="110"/>
    <x v="0"/>
    <s v="Retail"/>
    <n v="1086774"/>
    <n v="44"/>
    <n v="56"/>
    <s v="Increasing"/>
    <n v="4"/>
    <s v="Medium"/>
    <s v="High"/>
    <s v="Low"/>
    <s v="Low"/>
    <s v="High"/>
    <n v="2"/>
    <n v="0"/>
    <n v="0"/>
    <n v="2"/>
    <n v="4"/>
    <x v="1"/>
  </r>
  <r>
    <x v="111"/>
    <x v="2"/>
    <s v="Logistics"/>
    <n v="1472155"/>
    <n v="34"/>
    <n v="86"/>
    <s v="Increasing"/>
    <n v="1"/>
    <s v="Low"/>
    <s v="High"/>
    <s v="Medium"/>
    <s v="Low"/>
    <s v="Medium"/>
    <n v="2"/>
    <n v="1"/>
    <n v="0"/>
    <n v="1"/>
    <n v="4"/>
    <x v="1"/>
  </r>
  <r>
    <x v="112"/>
    <x v="3"/>
    <s v="Retail"/>
    <n v="644832"/>
    <n v="51"/>
    <n v="47"/>
    <s v="Stable"/>
    <n v="3"/>
    <s v="High"/>
    <s v="High"/>
    <s v="Low"/>
    <s v="Low"/>
    <s v="High"/>
    <n v="2"/>
    <n v="0"/>
    <n v="0"/>
    <n v="2"/>
    <n v="4"/>
    <x v="1"/>
  </r>
  <r>
    <x v="113"/>
    <x v="4"/>
    <s v="Retail"/>
    <n v="200206"/>
    <n v="49"/>
    <n v="55"/>
    <s v="Stable"/>
    <n v="4"/>
    <s v="Low"/>
    <s v="High"/>
    <s v="Low"/>
    <s v="Low"/>
    <s v="High"/>
    <n v="2"/>
    <n v="0"/>
    <n v="0"/>
    <n v="2"/>
    <n v="4"/>
    <x v="1"/>
  </r>
  <r>
    <x v="114"/>
    <x v="0"/>
    <s v="Trading"/>
    <n v="924916"/>
    <n v="39"/>
    <n v="94"/>
    <s v="Stable"/>
    <n v="2"/>
    <s v="Low"/>
    <s v="High"/>
    <s v="High"/>
    <s v="Low"/>
    <s v="Low"/>
    <n v="2"/>
    <n v="2"/>
    <n v="0"/>
    <n v="0"/>
    <n v="4"/>
    <x v="1"/>
  </r>
  <r>
    <x v="115"/>
    <x v="2"/>
    <s v="Services"/>
    <n v="534592"/>
    <n v="50"/>
    <n v="55"/>
    <s v="Declining"/>
    <n v="2"/>
    <s v="Medium"/>
    <s v="High"/>
    <s v="Low"/>
    <s v="High"/>
    <s v="Low"/>
    <n v="2"/>
    <n v="0"/>
    <n v="2"/>
    <n v="0"/>
    <n v="4"/>
    <x v="1"/>
  </r>
  <r>
    <x v="116"/>
    <x v="1"/>
    <s v="Services"/>
    <n v="129299"/>
    <n v="51"/>
    <n v="71"/>
    <s v="Stable"/>
    <n v="5"/>
    <s v="Low"/>
    <s v="High"/>
    <s v="Low"/>
    <s v="Low"/>
    <s v="High"/>
    <n v="2"/>
    <n v="0"/>
    <n v="0"/>
    <n v="2"/>
    <n v="4"/>
    <x v="1"/>
  </r>
  <r>
    <x v="117"/>
    <x v="2"/>
    <s v="Services"/>
    <n v="1449770"/>
    <n v="55"/>
    <n v="51"/>
    <s v="Increasing"/>
    <n v="3"/>
    <s v="Medium"/>
    <s v="High"/>
    <s v="Low"/>
    <s v="Low"/>
    <s v="High"/>
    <n v="2"/>
    <n v="0"/>
    <n v="0"/>
    <n v="2"/>
    <n v="4"/>
    <x v="1"/>
  </r>
  <r>
    <x v="118"/>
    <x v="3"/>
    <s v="Manufacturing"/>
    <n v="1000341"/>
    <n v="4"/>
    <n v="78"/>
    <s v="Declining"/>
    <n v="1"/>
    <s v="Medium"/>
    <s v="Low"/>
    <s v="Medium"/>
    <s v="High"/>
    <s v="Medium"/>
    <n v="0"/>
    <n v="1"/>
    <n v="2"/>
    <n v="1"/>
    <n v="4"/>
    <x v="1"/>
  </r>
  <r>
    <x v="119"/>
    <x v="1"/>
    <s v="Logistics"/>
    <n v="212582"/>
    <n v="40"/>
    <n v="74"/>
    <s v="Stable"/>
    <n v="3"/>
    <s v="High"/>
    <s v="High"/>
    <s v="Low"/>
    <s v="Low"/>
    <s v="High"/>
    <n v="2"/>
    <n v="0"/>
    <n v="0"/>
    <n v="2"/>
    <n v="4"/>
    <x v="1"/>
  </r>
  <r>
    <x v="120"/>
    <x v="0"/>
    <s v="Trading"/>
    <n v="1281141"/>
    <n v="55"/>
    <n v="57"/>
    <s v="Stable"/>
    <n v="3"/>
    <s v="Medium"/>
    <s v="High"/>
    <s v="Low"/>
    <s v="Low"/>
    <s v="High"/>
    <n v="2"/>
    <n v="0"/>
    <n v="0"/>
    <n v="2"/>
    <n v="4"/>
    <x v="1"/>
  </r>
  <r>
    <x v="121"/>
    <x v="4"/>
    <s v="Services"/>
    <n v="417297"/>
    <n v="32"/>
    <n v="69"/>
    <s v="Increasing"/>
    <n v="3"/>
    <s v="Medium"/>
    <s v="High"/>
    <s v="Low"/>
    <s v="Low"/>
    <s v="High"/>
    <n v="2"/>
    <n v="0"/>
    <n v="0"/>
    <n v="2"/>
    <n v="4"/>
    <x v="1"/>
  </r>
  <r>
    <x v="122"/>
    <x v="4"/>
    <s v="Manufacturing"/>
    <n v="731044"/>
    <n v="27"/>
    <n v="99"/>
    <s v="Increasing"/>
    <n v="1"/>
    <s v="Low"/>
    <s v="Medium"/>
    <s v="High"/>
    <s v="Low"/>
    <s v="Medium"/>
    <n v="1"/>
    <n v="2"/>
    <n v="0"/>
    <n v="1"/>
    <n v="4"/>
    <x v="1"/>
  </r>
  <r>
    <x v="123"/>
    <x v="3"/>
    <s v="Manufacturing"/>
    <n v="1024607"/>
    <n v="23"/>
    <n v="90"/>
    <s v="Increasing"/>
    <n v="5"/>
    <s v="High"/>
    <s v="Medium"/>
    <s v="Medium"/>
    <s v="Low"/>
    <s v="High"/>
    <n v="1"/>
    <n v="1"/>
    <n v="0"/>
    <n v="2"/>
    <n v="4"/>
    <x v="1"/>
  </r>
  <r>
    <x v="124"/>
    <x v="0"/>
    <s v="Retail"/>
    <n v="724707"/>
    <n v="52"/>
    <n v="61"/>
    <s v="Stable"/>
    <n v="5"/>
    <s v="High"/>
    <s v="High"/>
    <s v="Low"/>
    <s v="Low"/>
    <s v="High"/>
    <n v="2"/>
    <n v="0"/>
    <n v="0"/>
    <n v="2"/>
    <n v="4"/>
    <x v="1"/>
  </r>
  <r>
    <x v="125"/>
    <x v="2"/>
    <s v="Logistics"/>
    <n v="1399531"/>
    <n v="44"/>
    <n v="57"/>
    <s v="Declining"/>
    <n v="0"/>
    <s v="High"/>
    <s v="High"/>
    <s v="Low"/>
    <s v="High"/>
    <s v="Low"/>
    <n v="2"/>
    <n v="0"/>
    <n v="2"/>
    <n v="0"/>
    <n v="4"/>
    <x v="1"/>
  </r>
  <r>
    <x v="126"/>
    <x v="4"/>
    <s v="Trading"/>
    <n v="410695"/>
    <n v="39"/>
    <n v="86"/>
    <s v="Stable"/>
    <n v="1"/>
    <s v="Medium"/>
    <s v="High"/>
    <s v="Medium"/>
    <s v="Low"/>
    <s v="Medium"/>
    <n v="2"/>
    <n v="1"/>
    <n v="0"/>
    <n v="1"/>
    <n v="4"/>
    <x v="1"/>
  </r>
  <r>
    <x v="127"/>
    <x v="0"/>
    <s v="Retail"/>
    <n v="588329"/>
    <n v="49"/>
    <n v="62"/>
    <s v="Increasing"/>
    <n v="4"/>
    <s v="Medium"/>
    <s v="High"/>
    <s v="Low"/>
    <s v="Low"/>
    <s v="High"/>
    <n v="2"/>
    <n v="0"/>
    <n v="0"/>
    <n v="2"/>
    <n v="4"/>
    <x v="1"/>
  </r>
  <r>
    <x v="128"/>
    <x v="2"/>
    <s v="Trading"/>
    <n v="1341332"/>
    <n v="58"/>
    <n v="40"/>
    <s v="Stable"/>
    <n v="4"/>
    <s v="High"/>
    <s v="High"/>
    <s v="Low"/>
    <s v="Low"/>
    <s v="High"/>
    <n v="2"/>
    <n v="0"/>
    <n v="0"/>
    <n v="2"/>
    <n v="4"/>
    <x v="1"/>
  </r>
  <r>
    <x v="129"/>
    <x v="4"/>
    <s v="Logistics"/>
    <n v="565928"/>
    <n v="7"/>
    <n v="95"/>
    <s v="Stable"/>
    <n v="5"/>
    <s v="Low"/>
    <s v="Low"/>
    <s v="High"/>
    <s v="Low"/>
    <s v="High"/>
    <n v="0"/>
    <n v="2"/>
    <n v="0"/>
    <n v="2"/>
    <n v="4"/>
    <x v="1"/>
  </r>
  <r>
    <x v="130"/>
    <x v="4"/>
    <s v="Services"/>
    <n v="82344"/>
    <n v="49"/>
    <n v="49"/>
    <s v="Declining"/>
    <n v="2"/>
    <s v="Medium"/>
    <s v="High"/>
    <s v="Low"/>
    <s v="High"/>
    <s v="Low"/>
    <n v="2"/>
    <n v="0"/>
    <n v="2"/>
    <n v="0"/>
    <n v="4"/>
    <x v="1"/>
  </r>
  <r>
    <x v="131"/>
    <x v="3"/>
    <s v="Retail"/>
    <n v="1441052"/>
    <n v="32"/>
    <n v="96"/>
    <s v="Increasing"/>
    <n v="0"/>
    <s v="Low"/>
    <s v="High"/>
    <s v="High"/>
    <s v="Low"/>
    <s v="Low"/>
    <n v="2"/>
    <n v="2"/>
    <n v="0"/>
    <n v="0"/>
    <n v="4"/>
    <x v="1"/>
  </r>
  <r>
    <x v="132"/>
    <x v="3"/>
    <s v="Retail"/>
    <n v="565942"/>
    <n v="49"/>
    <n v="65"/>
    <s v="Declining"/>
    <n v="2"/>
    <s v="Medium"/>
    <s v="High"/>
    <s v="Low"/>
    <s v="High"/>
    <s v="Low"/>
    <n v="2"/>
    <n v="0"/>
    <n v="2"/>
    <n v="0"/>
    <n v="4"/>
    <x v="1"/>
  </r>
  <r>
    <x v="133"/>
    <x v="1"/>
    <s v="Services"/>
    <n v="371776"/>
    <n v="19"/>
    <n v="100"/>
    <s v="Increasing"/>
    <n v="1"/>
    <s v="Low"/>
    <s v="Medium"/>
    <s v="High"/>
    <s v="Low"/>
    <s v="Medium"/>
    <n v="1"/>
    <n v="2"/>
    <n v="0"/>
    <n v="1"/>
    <n v="4"/>
    <x v="1"/>
  </r>
  <r>
    <x v="134"/>
    <x v="2"/>
    <s v="Manufacturing"/>
    <n v="1415251"/>
    <n v="17"/>
    <n v="81"/>
    <s v="Declining"/>
    <n v="0"/>
    <s v="Low"/>
    <s v="Medium"/>
    <s v="Medium"/>
    <s v="High"/>
    <s v="Low"/>
    <n v="1"/>
    <n v="1"/>
    <n v="2"/>
    <n v="0"/>
    <n v="4"/>
    <x v="1"/>
  </r>
  <r>
    <x v="135"/>
    <x v="1"/>
    <s v="Services"/>
    <n v="136136"/>
    <n v="48"/>
    <n v="93"/>
    <s v="Stable"/>
    <n v="0"/>
    <s v="Low"/>
    <s v="High"/>
    <s v="High"/>
    <s v="Low"/>
    <s v="Low"/>
    <n v="2"/>
    <n v="2"/>
    <n v="0"/>
    <n v="0"/>
    <n v="4"/>
    <x v="1"/>
  </r>
  <r>
    <x v="136"/>
    <x v="0"/>
    <s v="Trading"/>
    <n v="1126148"/>
    <n v="17"/>
    <n v="86"/>
    <s v="Increasing"/>
    <n v="5"/>
    <s v="High"/>
    <s v="Medium"/>
    <s v="Medium"/>
    <s v="Low"/>
    <s v="High"/>
    <n v="1"/>
    <n v="1"/>
    <n v="0"/>
    <n v="2"/>
    <n v="4"/>
    <x v="1"/>
  </r>
  <r>
    <x v="137"/>
    <x v="0"/>
    <s v="Manufacturing"/>
    <n v="168558"/>
    <n v="39"/>
    <n v="52"/>
    <s v="Increasing"/>
    <n v="5"/>
    <s v="Low"/>
    <s v="High"/>
    <s v="Low"/>
    <s v="Low"/>
    <s v="High"/>
    <n v="2"/>
    <n v="0"/>
    <n v="0"/>
    <n v="2"/>
    <n v="4"/>
    <x v="1"/>
  </r>
  <r>
    <x v="138"/>
    <x v="2"/>
    <s v="Retail"/>
    <n v="897181"/>
    <n v="12"/>
    <n v="98"/>
    <s v="Stable"/>
    <n v="1"/>
    <s v="Low"/>
    <s v="Medium"/>
    <s v="High"/>
    <s v="Low"/>
    <s v="Medium"/>
    <n v="1"/>
    <n v="2"/>
    <n v="0"/>
    <n v="1"/>
    <n v="4"/>
    <x v="1"/>
  </r>
  <r>
    <x v="139"/>
    <x v="2"/>
    <s v="Logistics"/>
    <n v="1324768"/>
    <n v="41"/>
    <n v="71"/>
    <s v="Increasing"/>
    <n v="5"/>
    <s v="Medium"/>
    <s v="High"/>
    <s v="Low"/>
    <s v="Low"/>
    <s v="High"/>
    <n v="2"/>
    <n v="0"/>
    <n v="0"/>
    <n v="2"/>
    <n v="4"/>
    <x v="1"/>
  </r>
  <r>
    <x v="140"/>
    <x v="0"/>
    <s v="Trading"/>
    <n v="1239772"/>
    <n v="50"/>
    <n v="73"/>
    <s v="Increasing"/>
    <n v="4"/>
    <s v="Low"/>
    <s v="High"/>
    <s v="Low"/>
    <s v="Low"/>
    <s v="High"/>
    <n v="2"/>
    <n v="0"/>
    <n v="0"/>
    <n v="2"/>
    <n v="4"/>
    <x v="1"/>
  </r>
  <r>
    <x v="141"/>
    <x v="2"/>
    <s v="Logistics"/>
    <n v="1156558"/>
    <n v="39"/>
    <n v="65"/>
    <s v="Increasing"/>
    <n v="4"/>
    <s v="High"/>
    <s v="High"/>
    <s v="Low"/>
    <s v="Low"/>
    <s v="High"/>
    <n v="2"/>
    <n v="0"/>
    <n v="0"/>
    <n v="2"/>
    <n v="4"/>
    <x v="1"/>
  </r>
  <r>
    <x v="142"/>
    <x v="3"/>
    <s v="Manufacturing"/>
    <n v="557685"/>
    <n v="44"/>
    <n v="55"/>
    <s v="Stable"/>
    <n v="5"/>
    <s v="High"/>
    <s v="High"/>
    <s v="Low"/>
    <s v="Low"/>
    <s v="High"/>
    <n v="2"/>
    <n v="0"/>
    <n v="0"/>
    <n v="2"/>
    <n v="4"/>
    <x v="1"/>
  </r>
  <r>
    <x v="143"/>
    <x v="4"/>
    <s v="Services"/>
    <n v="1431424"/>
    <n v="45"/>
    <n v="63"/>
    <s v="Declining"/>
    <n v="0"/>
    <s v="Medium"/>
    <s v="High"/>
    <s v="Low"/>
    <s v="High"/>
    <s v="Low"/>
    <n v="2"/>
    <n v="0"/>
    <n v="2"/>
    <n v="0"/>
    <n v="4"/>
    <x v="1"/>
  </r>
  <r>
    <x v="144"/>
    <x v="0"/>
    <s v="Retail"/>
    <n v="519448"/>
    <n v="40"/>
    <n v="94"/>
    <s v="Increasing"/>
    <n v="2"/>
    <s v="Medium"/>
    <s v="High"/>
    <s v="High"/>
    <s v="Low"/>
    <s v="Low"/>
    <n v="2"/>
    <n v="2"/>
    <n v="0"/>
    <n v="0"/>
    <n v="4"/>
    <x v="1"/>
  </r>
  <r>
    <x v="145"/>
    <x v="2"/>
    <s v="Retail"/>
    <n v="1292701"/>
    <n v="60"/>
    <n v="60"/>
    <s v="Stable"/>
    <n v="3"/>
    <s v="Low"/>
    <s v="High"/>
    <s v="Low"/>
    <s v="Low"/>
    <s v="High"/>
    <n v="2"/>
    <n v="0"/>
    <n v="0"/>
    <n v="2"/>
    <n v="4"/>
    <x v="1"/>
  </r>
  <r>
    <x v="146"/>
    <x v="4"/>
    <s v="Logistics"/>
    <n v="1353772"/>
    <n v="55"/>
    <n v="49"/>
    <s v="Increasing"/>
    <n v="5"/>
    <s v="Low"/>
    <s v="High"/>
    <s v="Low"/>
    <s v="Low"/>
    <s v="High"/>
    <n v="2"/>
    <n v="0"/>
    <n v="0"/>
    <n v="2"/>
    <n v="4"/>
    <x v="1"/>
  </r>
  <r>
    <x v="147"/>
    <x v="2"/>
    <s v="Retail"/>
    <n v="810030"/>
    <n v="17"/>
    <n v="91"/>
    <s v="Increasing"/>
    <n v="1"/>
    <s v="Low"/>
    <s v="Medium"/>
    <s v="High"/>
    <s v="Low"/>
    <s v="Medium"/>
    <n v="1"/>
    <n v="2"/>
    <n v="0"/>
    <n v="1"/>
    <n v="4"/>
    <x v="1"/>
  </r>
  <r>
    <x v="148"/>
    <x v="4"/>
    <s v="Services"/>
    <n v="1035333"/>
    <n v="17"/>
    <n v="76"/>
    <s v="Increasing"/>
    <n v="5"/>
    <s v="High"/>
    <s v="Medium"/>
    <s v="Medium"/>
    <s v="Low"/>
    <s v="High"/>
    <n v="1"/>
    <n v="1"/>
    <n v="0"/>
    <n v="2"/>
    <n v="4"/>
    <x v="1"/>
  </r>
  <r>
    <x v="149"/>
    <x v="3"/>
    <s v="Manufacturing"/>
    <n v="229555"/>
    <n v="38"/>
    <n v="72"/>
    <s v="Stable"/>
    <n v="4"/>
    <s v="Medium"/>
    <s v="High"/>
    <s v="Low"/>
    <s v="Low"/>
    <s v="High"/>
    <n v="2"/>
    <n v="0"/>
    <n v="0"/>
    <n v="2"/>
    <n v="4"/>
    <x v="1"/>
  </r>
  <r>
    <x v="150"/>
    <x v="0"/>
    <s v="Logistics"/>
    <n v="278927"/>
    <n v="15"/>
    <n v="81"/>
    <s v="Stable"/>
    <n v="4"/>
    <s v="Low"/>
    <s v="Medium"/>
    <s v="Medium"/>
    <s v="Low"/>
    <s v="High"/>
    <n v="1"/>
    <n v="1"/>
    <n v="0"/>
    <n v="2"/>
    <n v="4"/>
    <x v="1"/>
  </r>
  <r>
    <x v="151"/>
    <x v="2"/>
    <s v="Retail"/>
    <n v="1235453"/>
    <n v="47"/>
    <n v="68"/>
    <s v="Stable"/>
    <n v="5"/>
    <s v="High"/>
    <s v="High"/>
    <s v="Low"/>
    <s v="Low"/>
    <s v="High"/>
    <n v="2"/>
    <n v="0"/>
    <n v="0"/>
    <n v="2"/>
    <n v="4"/>
    <x v="1"/>
  </r>
  <r>
    <x v="152"/>
    <x v="3"/>
    <s v="Manufacturing"/>
    <n v="1304527"/>
    <n v="24"/>
    <n v="93"/>
    <s v="Stable"/>
    <n v="1"/>
    <s v="Medium"/>
    <s v="Medium"/>
    <s v="High"/>
    <s v="Low"/>
    <s v="Medium"/>
    <n v="1"/>
    <n v="2"/>
    <n v="0"/>
    <n v="1"/>
    <n v="4"/>
    <x v="1"/>
  </r>
  <r>
    <x v="153"/>
    <x v="0"/>
    <s v="Manufacturing"/>
    <n v="1251089"/>
    <n v="56"/>
    <n v="61"/>
    <s v="Stable"/>
    <n v="4"/>
    <s v="High"/>
    <s v="High"/>
    <s v="Low"/>
    <s v="Low"/>
    <s v="High"/>
    <n v="2"/>
    <n v="0"/>
    <n v="0"/>
    <n v="2"/>
    <n v="4"/>
    <x v="1"/>
  </r>
  <r>
    <x v="154"/>
    <x v="2"/>
    <s v="Manufacturing"/>
    <n v="234993"/>
    <n v="36"/>
    <n v="64"/>
    <s v="Declining"/>
    <n v="0"/>
    <s v="Medium"/>
    <s v="High"/>
    <s v="Low"/>
    <s v="High"/>
    <s v="Low"/>
    <n v="2"/>
    <n v="0"/>
    <n v="2"/>
    <n v="0"/>
    <n v="4"/>
    <x v="1"/>
  </r>
  <r>
    <x v="155"/>
    <x v="0"/>
    <s v="Logistics"/>
    <n v="255965"/>
    <n v="51"/>
    <n v="86"/>
    <s v="Increasing"/>
    <n v="1"/>
    <s v="Medium"/>
    <s v="High"/>
    <s v="Medium"/>
    <s v="Low"/>
    <s v="Medium"/>
    <n v="2"/>
    <n v="1"/>
    <n v="0"/>
    <n v="1"/>
    <n v="4"/>
    <x v="1"/>
  </r>
  <r>
    <x v="156"/>
    <x v="4"/>
    <s v="Retail"/>
    <n v="541672"/>
    <n v="8"/>
    <n v="92"/>
    <s v="Increasing"/>
    <n v="4"/>
    <s v="High"/>
    <s v="Low"/>
    <s v="High"/>
    <s v="Low"/>
    <s v="High"/>
    <n v="0"/>
    <n v="2"/>
    <n v="0"/>
    <n v="2"/>
    <n v="4"/>
    <x v="1"/>
  </r>
  <r>
    <x v="157"/>
    <x v="4"/>
    <s v="Manufacturing"/>
    <n v="56110"/>
    <n v="54"/>
    <n v="53"/>
    <s v="Declining"/>
    <n v="0"/>
    <s v="Low"/>
    <s v="High"/>
    <s v="Low"/>
    <s v="High"/>
    <s v="Low"/>
    <n v="2"/>
    <n v="0"/>
    <n v="2"/>
    <n v="0"/>
    <n v="4"/>
    <x v="1"/>
  </r>
  <r>
    <x v="158"/>
    <x v="4"/>
    <s v="Logistics"/>
    <n v="310395"/>
    <n v="41"/>
    <n v="68"/>
    <s v="Stable"/>
    <n v="4"/>
    <s v="Low"/>
    <s v="High"/>
    <s v="Low"/>
    <s v="Low"/>
    <s v="High"/>
    <n v="2"/>
    <n v="0"/>
    <n v="0"/>
    <n v="2"/>
    <n v="4"/>
    <x v="1"/>
  </r>
  <r>
    <x v="159"/>
    <x v="0"/>
    <s v="Retail"/>
    <n v="95926"/>
    <n v="53"/>
    <n v="54"/>
    <s v="Declining"/>
    <n v="0"/>
    <s v="Low"/>
    <s v="High"/>
    <s v="Low"/>
    <s v="High"/>
    <s v="Low"/>
    <n v="2"/>
    <n v="0"/>
    <n v="2"/>
    <n v="0"/>
    <n v="4"/>
    <x v="1"/>
  </r>
  <r>
    <x v="160"/>
    <x v="0"/>
    <s v="Manufacturing"/>
    <n v="1098035"/>
    <n v="55"/>
    <n v="41"/>
    <s v="Stable"/>
    <n v="4"/>
    <s v="High"/>
    <s v="High"/>
    <s v="Low"/>
    <s v="Low"/>
    <s v="High"/>
    <n v="2"/>
    <n v="0"/>
    <n v="0"/>
    <n v="2"/>
    <n v="4"/>
    <x v="1"/>
  </r>
  <r>
    <x v="161"/>
    <x v="3"/>
    <s v="Manufacturing"/>
    <n v="410463"/>
    <n v="57"/>
    <n v="83"/>
    <s v="Stable"/>
    <n v="1"/>
    <s v="Low"/>
    <s v="High"/>
    <s v="Medium"/>
    <s v="Low"/>
    <s v="Medium"/>
    <n v="2"/>
    <n v="1"/>
    <n v="0"/>
    <n v="1"/>
    <n v="4"/>
    <x v="1"/>
  </r>
  <r>
    <x v="162"/>
    <x v="1"/>
    <s v="Retail"/>
    <n v="718315"/>
    <n v="2"/>
    <n v="57"/>
    <s v="Declining"/>
    <n v="5"/>
    <s v="High"/>
    <s v="Low"/>
    <s v="Low"/>
    <s v="High"/>
    <s v="High"/>
    <n v="0"/>
    <n v="0"/>
    <n v="2"/>
    <n v="2"/>
    <n v="4"/>
    <x v="1"/>
  </r>
  <r>
    <x v="163"/>
    <x v="4"/>
    <s v="Manufacturing"/>
    <n v="1192580"/>
    <n v="21"/>
    <n v="98"/>
    <s v="Increasing"/>
    <n v="1"/>
    <s v="Medium"/>
    <s v="Medium"/>
    <s v="High"/>
    <s v="Low"/>
    <s v="Medium"/>
    <n v="1"/>
    <n v="2"/>
    <n v="0"/>
    <n v="1"/>
    <n v="4"/>
    <x v="1"/>
  </r>
  <r>
    <x v="164"/>
    <x v="1"/>
    <s v="Services"/>
    <n v="185299"/>
    <n v="26"/>
    <n v="100"/>
    <s v="Increasing"/>
    <n v="1"/>
    <s v="Low"/>
    <s v="Medium"/>
    <s v="High"/>
    <s v="Low"/>
    <s v="Medium"/>
    <n v="1"/>
    <n v="2"/>
    <n v="0"/>
    <n v="1"/>
    <n v="4"/>
    <x v="1"/>
  </r>
  <r>
    <x v="165"/>
    <x v="4"/>
    <s v="Services"/>
    <n v="483644"/>
    <n v="2"/>
    <n v="64"/>
    <s v="Declining"/>
    <n v="5"/>
    <s v="Medium"/>
    <s v="Low"/>
    <s v="Low"/>
    <s v="High"/>
    <s v="High"/>
    <n v="0"/>
    <n v="0"/>
    <n v="2"/>
    <n v="2"/>
    <n v="4"/>
    <x v="1"/>
  </r>
  <r>
    <x v="166"/>
    <x v="2"/>
    <s v="Retail"/>
    <n v="461767"/>
    <n v="34"/>
    <n v="76"/>
    <s v="Increasing"/>
    <n v="1"/>
    <s v="High"/>
    <s v="High"/>
    <s v="Medium"/>
    <s v="Low"/>
    <s v="Medium"/>
    <n v="2"/>
    <n v="1"/>
    <n v="0"/>
    <n v="1"/>
    <n v="4"/>
    <x v="1"/>
  </r>
  <r>
    <x v="167"/>
    <x v="2"/>
    <s v="Logistics"/>
    <n v="100982"/>
    <n v="20"/>
    <n v="47"/>
    <s v="Stable"/>
    <n v="4"/>
    <s v="High"/>
    <s v="Medium"/>
    <s v="Low"/>
    <s v="Low"/>
    <s v="High"/>
    <n v="1"/>
    <n v="0"/>
    <n v="0"/>
    <n v="2"/>
    <n v="3"/>
    <x v="1"/>
  </r>
  <r>
    <x v="168"/>
    <x v="0"/>
    <s v="Logistics"/>
    <n v="122770"/>
    <n v="29"/>
    <n v="74"/>
    <s v="Increasing"/>
    <n v="4"/>
    <s v="High"/>
    <s v="Medium"/>
    <s v="Low"/>
    <s v="Low"/>
    <s v="High"/>
    <n v="1"/>
    <n v="0"/>
    <n v="0"/>
    <n v="2"/>
    <n v="3"/>
    <x v="1"/>
  </r>
  <r>
    <x v="169"/>
    <x v="1"/>
    <s v="Logistics"/>
    <n v="636807"/>
    <n v="28"/>
    <n v="69"/>
    <s v="Stable"/>
    <n v="5"/>
    <s v="High"/>
    <s v="Medium"/>
    <s v="Low"/>
    <s v="Low"/>
    <s v="High"/>
    <n v="1"/>
    <n v="0"/>
    <n v="0"/>
    <n v="2"/>
    <n v="3"/>
    <x v="1"/>
  </r>
  <r>
    <x v="170"/>
    <x v="1"/>
    <s v="Logistics"/>
    <n v="665082"/>
    <n v="27"/>
    <n v="43"/>
    <s v="Declining"/>
    <n v="0"/>
    <s v="High"/>
    <s v="Medium"/>
    <s v="Low"/>
    <s v="High"/>
    <s v="Low"/>
    <n v="1"/>
    <n v="0"/>
    <n v="2"/>
    <n v="0"/>
    <n v="3"/>
    <x v="1"/>
  </r>
  <r>
    <x v="171"/>
    <x v="3"/>
    <s v="Retail"/>
    <n v="596890"/>
    <n v="4"/>
    <n v="57"/>
    <s v="Declining"/>
    <n v="1"/>
    <s v="Medium"/>
    <s v="Low"/>
    <s v="Low"/>
    <s v="High"/>
    <s v="Medium"/>
    <n v="0"/>
    <n v="0"/>
    <n v="2"/>
    <n v="1"/>
    <n v="3"/>
    <x v="1"/>
  </r>
  <r>
    <x v="172"/>
    <x v="0"/>
    <s v="Retail"/>
    <n v="821122"/>
    <n v="0"/>
    <n v="79"/>
    <s v="Stable"/>
    <n v="3"/>
    <s v="Medium"/>
    <s v="Low"/>
    <s v="Medium"/>
    <s v="Low"/>
    <s v="High"/>
    <n v="0"/>
    <n v="1"/>
    <n v="0"/>
    <n v="2"/>
    <n v="3"/>
    <x v="1"/>
  </r>
  <r>
    <x v="173"/>
    <x v="3"/>
    <s v="Services"/>
    <n v="518774"/>
    <n v="13"/>
    <n v="62"/>
    <s v="Increasing"/>
    <n v="3"/>
    <s v="Low"/>
    <s v="Medium"/>
    <s v="Low"/>
    <s v="Low"/>
    <s v="High"/>
    <n v="1"/>
    <n v="0"/>
    <n v="0"/>
    <n v="2"/>
    <n v="3"/>
    <x v="1"/>
  </r>
  <r>
    <x v="174"/>
    <x v="3"/>
    <s v="Services"/>
    <n v="1344225"/>
    <n v="48"/>
    <n v="54"/>
    <s v="Increasing"/>
    <n v="1"/>
    <s v="High"/>
    <s v="High"/>
    <s v="Low"/>
    <s v="Low"/>
    <s v="Medium"/>
    <n v="2"/>
    <n v="0"/>
    <n v="0"/>
    <n v="1"/>
    <n v="3"/>
    <x v="1"/>
  </r>
  <r>
    <x v="175"/>
    <x v="3"/>
    <s v="Manufacturing"/>
    <n v="1300766"/>
    <n v="4"/>
    <n v="81"/>
    <s v="Increasing"/>
    <n v="4"/>
    <s v="Low"/>
    <s v="Low"/>
    <s v="Medium"/>
    <s v="Low"/>
    <s v="High"/>
    <n v="0"/>
    <n v="1"/>
    <n v="0"/>
    <n v="2"/>
    <n v="3"/>
    <x v="1"/>
  </r>
  <r>
    <x v="176"/>
    <x v="4"/>
    <s v="Retail"/>
    <n v="589014"/>
    <n v="15"/>
    <n v="41"/>
    <s v="Declining"/>
    <n v="0"/>
    <s v="High"/>
    <s v="Medium"/>
    <s v="Low"/>
    <s v="High"/>
    <s v="Low"/>
    <n v="1"/>
    <n v="0"/>
    <n v="2"/>
    <n v="0"/>
    <n v="3"/>
    <x v="1"/>
  </r>
  <r>
    <x v="177"/>
    <x v="1"/>
    <s v="Logistics"/>
    <n v="919025"/>
    <n v="60"/>
    <n v="49"/>
    <s v="Increasing"/>
    <n v="1"/>
    <s v="Medium"/>
    <s v="High"/>
    <s v="Low"/>
    <s v="Low"/>
    <s v="Medium"/>
    <n v="2"/>
    <n v="0"/>
    <n v="0"/>
    <n v="1"/>
    <n v="3"/>
    <x v="1"/>
  </r>
  <r>
    <x v="178"/>
    <x v="0"/>
    <s v="Logistics"/>
    <n v="287037"/>
    <n v="15"/>
    <n v="47"/>
    <s v="Stable"/>
    <n v="4"/>
    <s v="Medium"/>
    <s v="Medium"/>
    <s v="Low"/>
    <s v="Low"/>
    <s v="High"/>
    <n v="1"/>
    <n v="0"/>
    <n v="0"/>
    <n v="2"/>
    <n v="3"/>
    <x v="1"/>
  </r>
  <r>
    <x v="179"/>
    <x v="0"/>
    <s v="Trading"/>
    <n v="1266246"/>
    <n v="57"/>
    <n v="77"/>
    <s v="Stable"/>
    <n v="2"/>
    <s v="Medium"/>
    <s v="High"/>
    <s v="Medium"/>
    <s v="Low"/>
    <s v="Low"/>
    <n v="2"/>
    <n v="1"/>
    <n v="0"/>
    <n v="0"/>
    <n v="3"/>
    <x v="1"/>
  </r>
  <r>
    <x v="180"/>
    <x v="1"/>
    <s v="Services"/>
    <n v="1113083"/>
    <n v="23"/>
    <n v="62"/>
    <s v="Declining"/>
    <n v="2"/>
    <s v="Low"/>
    <s v="Medium"/>
    <s v="Low"/>
    <s v="High"/>
    <s v="Low"/>
    <n v="1"/>
    <n v="0"/>
    <n v="2"/>
    <n v="0"/>
    <n v="3"/>
    <x v="1"/>
  </r>
  <r>
    <x v="181"/>
    <x v="1"/>
    <s v="Trading"/>
    <n v="244633"/>
    <n v="12"/>
    <n v="51"/>
    <s v="Declining"/>
    <n v="0"/>
    <s v="Medium"/>
    <s v="Medium"/>
    <s v="Low"/>
    <s v="High"/>
    <s v="Low"/>
    <n v="1"/>
    <n v="0"/>
    <n v="2"/>
    <n v="0"/>
    <n v="3"/>
    <x v="1"/>
  </r>
  <r>
    <x v="182"/>
    <x v="2"/>
    <s v="Logistics"/>
    <n v="964614"/>
    <n v="25"/>
    <n v="45"/>
    <s v="Stable"/>
    <n v="3"/>
    <s v="High"/>
    <s v="Medium"/>
    <s v="Low"/>
    <s v="Low"/>
    <s v="High"/>
    <n v="1"/>
    <n v="0"/>
    <n v="0"/>
    <n v="2"/>
    <n v="3"/>
    <x v="1"/>
  </r>
  <r>
    <x v="183"/>
    <x v="1"/>
    <s v="Retail"/>
    <n v="312639"/>
    <n v="49"/>
    <n v="85"/>
    <s v="Stable"/>
    <n v="2"/>
    <s v="Low"/>
    <s v="High"/>
    <s v="Medium"/>
    <s v="Low"/>
    <s v="Low"/>
    <n v="2"/>
    <n v="1"/>
    <n v="0"/>
    <n v="0"/>
    <n v="3"/>
    <x v="1"/>
  </r>
  <r>
    <x v="184"/>
    <x v="3"/>
    <s v="Logistics"/>
    <n v="188767"/>
    <n v="30"/>
    <n v="56"/>
    <s v="Increasing"/>
    <n v="3"/>
    <s v="Low"/>
    <s v="Medium"/>
    <s v="Low"/>
    <s v="Low"/>
    <s v="High"/>
    <n v="1"/>
    <n v="0"/>
    <n v="0"/>
    <n v="2"/>
    <n v="3"/>
    <x v="1"/>
  </r>
  <r>
    <x v="185"/>
    <x v="1"/>
    <s v="Retail"/>
    <n v="291408"/>
    <n v="16"/>
    <n v="55"/>
    <s v="Stable"/>
    <n v="5"/>
    <s v="Low"/>
    <s v="Medium"/>
    <s v="Low"/>
    <s v="Low"/>
    <s v="High"/>
    <n v="1"/>
    <n v="0"/>
    <n v="0"/>
    <n v="2"/>
    <n v="3"/>
    <x v="1"/>
  </r>
  <r>
    <x v="186"/>
    <x v="0"/>
    <s v="Trading"/>
    <n v="227073"/>
    <n v="29"/>
    <n v="61"/>
    <s v="Stable"/>
    <n v="5"/>
    <s v="High"/>
    <s v="Medium"/>
    <s v="Low"/>
    <s v="Low"/>
    <s v="High"/>
    <n v="1"/>
    <n v="0"/>
    <n v="0"/>
    <n v="2"/>
    <n v="3"/>
    <x v="1"/>
  </r>
  <r>
    <x v="187"/>
    <x v="2"/>
    <s v="Retail"/>
    <n v="440818"/>
    <n v="25"/>
    <n v="77"/>
    <s v="Stable"/>
    <n v="1"/>
    <s v="Low"/>
    <s v="Medium"/>
    <s v="Medium"/>
    <s v="Low"/>
    <s v="Medium"/>
    <n v="1"/>
    <n v="1"/>
    <n v="0"/>
    <n v="1"/>
    <n v="3"/>
    <x v="1"/>
  </r>
  <r>
    <x v="188"/>
    <x v="0"/>
    <s v="Retail"/>
    <n v="401142"/>
    <n v="5"/>
    <n v="86"/>
    <s v="Increasing"/>
    <n v="4"/>
    <s v="High"/>
    <s v="Low"/>
    <s v="Medium"/>
    <s v="Low"/>
    <s v="High"/>
    <n v="0"/>
    <n v="1"/>
    <n v="0"/>
    <n v="2"/>
    <n v="3"/>
    <x v="1"/>
  </r>
  <r>
    <x v="189"/>
    <x v="3"/>
    <s v="Trading"/>
    <n v="1443358"/>
    <n v="5"/>
    <n v="82"/>
    <s v="Stable"/>
    <n v="5"/>
    <s v="Low"/>
    <s v="Low"/>
    <s v="Medium"/>
    <s v="Low"/>
    <s v="High"/>
    <n v="0"/>
    <n v="1"/>
    <n v="0"/>
    <n v="2"/>
    <n v="3"/>
    <x v="1"/>
  </r>
  <r>
    <x v="190"/>
    <x v="1"/>
    <s v="Manufacturing"/>
    <n v="1436561"/>
    <n v="25"/>
    <n v="53"/>
    <s v="Increasing"/>
    <n v="5"/>
    <s v="High"/>
    <s v="Medium"/>
    <s v="Low"/>
    <s v="Low"/>
    <s v="High"/>
    <n v="1"/>
    <n v="0"/>
    <n v="0"/>
    <n v="2"/>
    <n v="3"/>
    <x v="1"/>
  </r>
  <r>
    <x v="191"/>
    <x v="1"/>
    <s v="Trading"/>
    <n v="261279"/>
    <n v="9"/>
    <n v="76"/>
    <s v="Stable"/>
    <n v="5"/>
    <s v="Low"/>
    <s v="Low"/>
    <s v="Medium"/>
    <s v="Low"/>
    <s v="High"/>
    <n v="0"/>
    <n v="1"/>
    <n v="0"/>
    <n v="2"/>
    <n v="3"/>
    <x v="1"/>
  </r>
  <r>
    <x v="192"/>
    <x v="0"/>
    <s v="Logistics"/>
    <n v="1007821"/>
    <n v="6"/>
    <n v="89"/>
    <s v="Declining"/>
    <n v="0"/>
    <s v="High"/>
    <s v="Low"/>
    <s v="Medium"/>
    <s v="High"/>
    <s v="Low"/>
    <n v="0"/>
    <n v="1"/>
    <n v="2"/>
    <n v="0"/>
    <n v="3"/>
    <x v="1"/>
  </r>
  <r>
    <x v="193"/>
    <x v="3"/>
    <s v="Trading"/>
    <n v="815923"/>
    <n v="56"/>
    <n v="86"/>
    <s v="Stable"/>
    <n v="2"/>
    <s v="Low"/>
    <s v="High"/>
    <s v="Medium"/>
    <s v="Low"/>
    <s v="Low"/>
    <n v="2"/>
    <n v="1"/>
    <n v="0"/>
    <n v="0"/>
    <n v="3"/>
    <x v="1"/>
  </r>
  <r>
    <x v="194"/>
    <x v="1"/>
    <s v="Logistics"/>
    <n v="81462"/>
    <n v="15"/>
    <n v="45"/>
    <s v="Increasing"/>
    <n v="4"/>
    <s v="Low"/>
    <s v="Medium"/>
    <s v="Low"/>
    <s v="Low"/>
    <s v="High"/>
    <n v="1"/>
    <n v="0"/>
    <n v="0"/>
    <n v="2"/>
    <n v="3"/>
    <x v="1"/>
  </r>
  <r>
    <x v="195"/>
    <x v="1"/>
    <s v="Manufacturing"/>
    <n v="221525"/>
    <n v="4"/>
    <n v="88"/>
    <s v="Stable"/>
    <n v="3"/>
    <s v="High"/>
    <s v="Low"/>
    <s v="Medium"/>
    <s v="Low"/>
    <s v="High"/>
    <n v="0"/>
    <n v="1"/>
    <n v="0"/>
    <n v="2"/>
    <n v="3"/>
    <x v="1"/>
  </r>
  <r>
    <x v="196"/>
    <x v="3"/>
    <s v="Retail"/>
    <n v="1373944"/>
    <n v="26"/>
    <n v="52"/>
    <s v="Declining"/>
    <n v="2"/>
    <s v="Medium"/>
    <s v="Medium"/>
    <s v="Low"/>
    <s v="High"/>
    <s v="Low"/>
    <n v="1"/>
    <n v="0"/>
    <n v="2"/>
    <n v="0"/>
    <n v="3"/>
    <x v="1"/>
  </r>
  <r>
    <x v="197"/>
    <x v="2"/>
    <s v="Manufacturing"/>
    <n v="904476"/>
    <n v="27"/>
    <n v="52"/>
    <s v="Increasing"/>
    <n v="5"/>
    <s v="Medium"/>
    <s v="Medium"/>
    <s v="Low"/>
    <s v="Low"/>
    <s v="High"/>
    <n v="1"/>
    <n v="0"/>
    <n v="0"/>
    <n v="2"/>
    <n v="3"/>
    <x v="1"/>
  </r>
  <r>
    <x v="198"/>
    <x v="1"/>
    <s v="Services"/>
    <n v="544597"/>
    <n v="27"/>
    <n v="100"/>
    <s v="Increasing"/>
    <n v="0"/>
    <s v="Medium"/>
    <s v="Medium"/>
    <s v="High"/>
    <s v="Low"/>
    <s v="Low"/>
    <n v="1"/>
    <n v="2"/>
    <n v="0"/>
    <n v="0"/>
    <n v="3"/>
    <x v="1"/>
  </r>
  <r>
    <x v="199"/>
    <x v="0"/>
    <s v="Logistics"/>
    <n v="435448"/>
    <n v="25"/>
    <n v="57"/>
    <s v="Increasing"/>
    <n v="3"/>
    <s v="Medium"/>
    <s v="Medium"/>
    <s v="Low"/>
    <s v="Low"/>
    <s v="High"/>
    <n v="1"/>
    <n v="0"/>
    <n v="0"/>
    <n v="2"/>
    <n v="3"/>
    <x v="1"/>
  </r>
  <r>
    <x v="200"/>
    <x v="0"/>
    <s v="Trading"/>
    <n v="649487"/>
    <n v="15"/>
    <n v="57"/>
    <s v="Increasing"/>
    <n v="4"/>
    <s v="Low"/>
    <s v="Medium"/>
    <s v="Low"/>
    <s v="Low"/>
    <s v="High"/>
    <n v="1"/>
    <n v="0"/>
    <n v="0"/>
    <n v="2"/>
    <n v="3"/>
    <x v="1"/>
  </r>
  <r>
    <x v="201"/>
    <x v="4"/>
    <s v="Trading"/>
    <n v="1072346"/>
    <n v="32"/>
    <n v="76"/>
    <s v="Stable"/>
    <n v="2"/>
    <s v="Low"/>
    <s v="High"/>
    <s v="Medium"/>
    <s v="Low"/>
    <s v="Low"/>
    <n v="2"/>
    <n v="1"/>
    <n v="0"/>
    <n v="0"/>
    <n v="3"/>
    <x v="1"/>
  </r>
  <r>
    <x v="202"/>
    <x v="1"/>
    <s v="Services"/>
    <n v="569732"/>
    <n v="25"/>
    <n v="82"/>
    <s v="Stable"/>
    <n v="1"/>
    <s v="Low"/>
    <s v="Medium"/>
    <s v="Medium"/>
    <s v="Low"/>
    <s v="Medium"/>
    <n v="1"/>
    <n v="1"/>
    <n v="0"/>
    <n v="1"/>
    <n v="3"/>
    <x v="1"/>
  </r>
  <r>
    <x v="203"/>
    <x v="1"/>
    <s v="Manufacturing"/>
    <n v="525681"/>
    <n v="57"/>
    <n v="76"/>
    <s v="Increasing"/>
    <n v="2"/>
    <s v="Low"/>
    <s v="High"/>
    <s v="Medium"/>
    <s v="Low"/>
    <s v="Low"/>
    <n v="2"/>
    <n v="1"/>
    <n v="0"/>
    <n v="0"/>
    <n v="3"/>
    <x v="1"/>
  </r>
  <r>
    <x v="204"/>
    <x v="2"/>
    <s v="Logistics"/>
    <n v="590494"/>
    <n v="21"/>
    <n v="62"/>
    <s v="Stable"/>
    <n v="3"/>
    <s v="Medium"/>
    <s v="Medium"/>
    <s v="Low"/>
    <s v="Low"/>
    <s v="High"/>
    <n v="1"/>
    <n v="0"/>
    <n v="0"/>
    <n v="2"/>
    <n v="3"/>
    <x v="1"/>
  </r>
  <r>
    <x v="205"/>
    <x v="4"/>
    <s v="Services"/>
    <n v="1455942"/>
    <n v="14"/>
    <n v="44"/>
    <s v="Increasing"/>
    <n v="3"/>
    <s v="Medium"/>
    <s v="Medium"/>
    <s v="Low"/>
    <s v="Low"/>
    <s v="High"/>
    <n v="1"/>
    <n v="0"/>
    <n v="0"/>
    <n v="2"/>
    <n v="3"/>
    <x v="1"/>
  </r>
  <r>
    <x v="206"/>
    <x v="2"/>
    <s v="Retail"/>
    <n v="1252371"/>
    <n v="20"/>
    <n v="73"/>
    <s v="Increasing"/>
    <n v="5"/>
    <s v="Low"/>
    <s v="Medium"/>
    <s v="Low"/>
    <s v="Low"/>
    <s v="High"/>
    <n v="1"/>
    <n v="0"/>
    <n v="0"/>
    <n v="2"/>
    <n v="3"/>
    <x v="1"/>
  </r>
  <r>
    <x v="207"/>
    <x v="4"/>
    <s v="Manufacturing"/>
    <n v="472358"/>
    <n v="28"/>
    <n v="75"/>
    <s v="Declining"/>
    <n v="0"/>
    <s v="Low"/>
    <s v="Medium"/>
    <s v="Low"/>
    <s v="High"/>
    <s v="Low"/>
    <n v="1"/>
    <n v="0"/>
    <n v="2"/>
    <n v="0"/>
    <n v="3"/>
    <x v="1"/>
  </r>
  <r>
    <x v="208"/>
    <x v="3"/>
    <s v="Retail"/>
    <n v="975649"/>
    <n v="30"/>
    <n v="49"/>
    <s v="Increasing"/>
    <n v="4"/>
    <s v="High"/>
    <s v="Medium"/>
    <s v="Low"/>
    <s v="Low"/>
    <s v="High"/>
    <n v="1"/>
    <n v="0"/>
    <n v="0"/>
    <n v="2"/>
    <n v="3"/>
    <x v="1"/>
  </r>
  <r>
    <x v="209"/>
    <x v="1"/>
    <s v="Manufacturing"/>
    <n v="196400"/>
    <n v="44"/>
    <n v="45"/>
    <s v="Stable"/>
    <n v="1"/>
    <s v="Low"/>
    <s v="High"/>
    <s v="Low"/>
    <s v="Low"/>
    <s v="Medium"/>
    <n v="2"/>
    <n v="0"/>
    <n v="0"/>
    <n v="1"/>
    <n v="3"/>
    <x v="1"/>
  </r>
  <r>
    <x v="210"/>
    <x v="0"/>
    <s v="Manufacturing"/>
    <n v="246368"/>
    <n v="27"/>
    <n v="69"/>
    <s v="Increasing"/>
    <n v="3"/>
    <s v="High"/>
    <s v="Medium"/>
    <s v="Low"/>
    <s v="Low"/>
    <s v="High"/>
    <n v="1"/>
    <n v="0"/>
    <n v="0"/>
    <n v="2"/>
    <n v="3"/>
    <x v="1"/>
  </r>
  <r>
    <x v="211"/>
    <x v="1"/>
    <s v="Logistics"/>
    <n v="156901"/>
    <n v="24"/>
    <n v="55"/>
    <s v="Stable"/>
    <n v="4"/>
    <s v="Low"/>
    <s v="Medium"/>
    <s v="Low"/>
    <s v="Low"/>
    <s v="High"/>
    <n v="1"/>
    <n v="0"/>
    <n v="0"/>
    <n v="2"/>
    <n v="3"/>
    <x v="1"/>
  </r>
  <r>
    <x v="212"/>
    <x v="3"/>
    <s v="Services"/>
    <n v="921824"/>
    <n v="10"/>
    <n v="78"/>
    <s v="Increasing"/>
    <n v="3"/>
    <s v="Medium"/>
    <s v="Low"/>
    <s v="Medium"/>
    <s v="Low"/>
    <s v="High"/>
    <n v="0"/>
    <n v="1"/>
    <n v="0"/>
    <n v="2"/>
    <n v="3"/>
    <x v="1"/>
  </r>
  <r>
    <x v="213"/>
    <x v="3"/>
    <s v="Manufacturing"/>
    <n v="1206048"/>
    <n v="30"/>
    <n v="49"/>
    <s v="Declining"/>
    <n v="2"/>
    <s v="Medium"/>
    <s v="Medium"/>
    <s v="Low"/>
    <s v="High"/>
    <s v="Low"/>
    <n v="1"/>
    <n v="0"/>
    <n v="2"/>
    <n v="0"/>
    <n v="3"/>
    <x v="1"/>
  </r>
  <r>
    <x v="214"/>
    <x v="2"/>
    <s v="Logistics"/>
    <n v="998559"/>
    <n v="12"/>
    <n v="67"/>
    <s v="Declining"/>
    <n v="2"/>
    <s v="Medium"/>
    <s v="Medium"/>
    <s v="Low"/>
    <s v="High"/>
    <s v="Low"/>
    <n v="1"/>
    <n v="0"/>
    <n v="2"/>
    <n v="0"/>
    <n v="3"/>
    <x v="1"/>
  </r>
  <r>
    <x v="215"/>
    <x v="3"/>
    <s v="Retail"/>
    <n v="1435619"/>
    <n v="47"/>
    <n v="68"/>
    <s v="Stable"/>
    <n v="1"/>
    <s v="Medium"/>
    <s v="High"/>
    <s v="Low"/>
    <s v="Low"/>
    <s v="Medium"/>
    <n v="2"/>
    <n v="0"/>
    <n v="0"/>
    <n v="1"/>
    <n v="3"/>
    <x v="1"/>
  </r>
  <r>
    <x v="216"/>
    <x v="0"/>
    <s v="Logistics"/>
    <n v="1036697"/>
    <n v="11"/>
    <n v="68"/>
    <s v="Stable"/>
    <n v="5"/>
    <s v="Low"/>
    <s v="Medium"/>
    <s v="Low"/>
    <s v="Low"/>
    <s v="High"/>
    <n v="1"/>
    <n v="0"/>
    <n v="0"/>
    <n v="2"/>
    <n v="3"/>
    <x v="1"/>
  </r>
  <r>
    <x v="217"/>
    <x v="1"/>
    <s v="Trading"/>
    <n v="1147190"/>
    <n v="30"/>
    <n v="54"/>
    <s v="Declining"/>
    <n v="2"/>
    <s v="Low"/>
    <s v="Medium"/>
    <s v="Low"/>
    <s v="High"/>
    <s v="Low"/>
    <n v="1"/>
    <n v="0"/>
    <n v="2"/>
    <n v="0"/>
    <n v="3"/>
    <x v="1"/>
  </r>
  <r>
    <x v="218"/>
    <x v="2"/>
    <s v="Trading"/>
    <n v="1090066"/>
    <n v="2"/>
    <n v="82"/>
    <s v="Increasing"/>
    <n v="4"/>
    <s v="Low"/>
    <s v="Low"/>
    <s v="Medium"/>
    <s v="Low"/>
    <s v="High"/>
    <n v="0"/>
    <n v="1"/>
    <n v="0"/>
    <n v="2"/>
    <n v="3"/>
    <x v="1"/>
  </r>
  <r>
    <x v="219"/>
    <x v="2"/>
    <s v="Logistics"/>
    <n v="853600"/>
    <n v="30"/>
    <n v="50"/>
    <s v="Increasing"/>
    <n v="5"/>
    <s v="High"/>
    <s v="Medium"/>
    <s v="Low"/>
    <s v="Low"/>
    <s v="High"/>
    <n v="1"/>
    <n v="0"/>
    <n v="0"/>
    <n v="2"/>
    <n v="3"/>
    <x v="1"/>
  </r>
  <r>
    <x v="220"/>
    <x v="3"/>
    <s v="Manufacturing"/>
    <n v="373806"/>
    <n v="19"/>
    <n v="59"/>
    <s v="Declining"/>
    <n v="2"/>
    <s v="High"/>
    <s v="Medium"/>
    <s v="Low"/>
    <s v="High"/>
    <s v="Low"/>
    <n v="1"/>
    <n v="0"/>
    <n v="2"/>
    <n v="0"/>
    <n v="3"/>
    <x v="1"/>
  </r>
  <r>
    <x v="221"/>
    <x v="1"/>
    <s v="Retail"/>
    <n v="614851"/>
    <n v="44"/>
    <n v="76"/>
    <s v="Increasing"/>
    <n v="2"/>
    <s v="High"/>
    <s v="High"/>
    <s v="Medium"/>
    <s v="Low"/>
    <s v="Low"/>
    <n v="2"/>
    <n v="1"/>
    <n v="0"/>
    <n v="0"/>
    <n v="3"/>
    <x v="1"/>
  </r>
  <r>
    <x v="222"/>
    <x v="1"/>
    <s v="Services"/>
    <n v="905984"/>
    <n v="0"/>
    <n v="76"/>
    <s v="Declining"/>
    <n v="0"/>
    <s v="Low"/>
    <s v="Low"/>
    <s v="Medium"/>
    <s v="High"/>
    <s v="Low"/>
    <n v="0"/>
    <n v="1"/>
    <n v="2"/>
    <n v="0"/>
    <n v="3"/>
    <x v="1"/>
  </r>
  <r>
    <x v="223"/>
    <x v="2"/>
    <s v="Logistics"/>
    <n v="702218"/>
    <n v="17"/>
    <n v="70"/>
    <s v="Stable"/>
    <n v="4"/>
    <s v="Medium"/>
    <s v="Medium"/>
    <s v="Low"/>
    <s v="Low"/>
    <s v="High"/>
    <n v="1"/>
    <n v="0"/>
    <n v="0"/>
    <n v="2"/>
    <n v="3"/>
    <x v="1"/>
  </r>
  <r>
    <x v="224"/>
    <x v="4"/>
    <s v="Retail"/>
    <n v="350899"/>
    <n v="32"/>
    <n v="76"/>
    <s v="Stable"/>
    <n v="2"/>
    <s v="High"/>
    <s v="High"/>
    <s v="Medium"/>
    <s v="Low"/>
    <s v="Low"/>
    <n v="2"/>
    <n v="1"/>
    <n v="0"/>
    <n v="0"/>
    <n v="3"/>
    <x v="1"/>
  </r>
  <r>
    <x v="225"/>
    <x v="2"/>
    <s v="Services"/>
    <n v="743533"/>
    <n v="17"/>
    <n v="67"/>
    <s v="Stable"/>
    <n v="3"/>
    <s v="Medium"/>
    <s v="Medium"/>
    <s v="Low"/>
    <s v="Low"/>
    <s v="High"/>
    <n v="1"/>
    <n v="0"/>
    <n v="0"/>
    <n v="2"/>
    <n v="3"/>
    <x v="1"/>
  </r>
  <r>
    <x v="226"/>
    <x v="3"/>
    <s v="Retail"/>
    <n v="560933"/>
    <n v="0"/>
    <n v="95"/>
    <s v="Increasing"/>
    <n v="1"/>
    <s v="Medium"/>
    <s v="Low"/>
    <s v="High"/>
    <s v="Low"/>
    <s v="Medium"/>
    <n v="0"/>
    <n v="2"/>
    <n v="0"/>
    <n v="1"/>
    <n v="3"/>
    <x v="1"/>
  </r>
  <r>
    <x v="227"/>
    <x v="0"/>
    <s v="Logistics"/>
    <n v="439219"/>
    <n v="23"/>
    <n v="94"/>
    <s v="Increasing"/>
    <n v="2"/>
    <s v="High"/>
    <s v="Medium"/>
    <s v="High"/>
    <s v="Low"/>
    <s v="Low"/>
    <n v="1"/>
    <n v="2"/>
    <n v="0"/>
    <n v="0"/>
    <n v="3"/>
    <x v="1"/>
  </r>
  <r>
    <x v="228"/>
    <x v="1"/>
    <s v="Manufacturing"/>
    <n v="187119"/>
    <n v="30"/>
    <n v="45"/>
    <s v="Increasing"/>
    <n v="4"/>
    <s v="Medium"/>
    <s v="Medium"/>
    <s v="Low"/>
    <s v="Low"/>
    <s v="High"/>
    <n v="1"/>
    <n v="0"/>
    <n v="0"/>
    <n v="2"/>
    <n v="3"/>
    <x v="1"/>
  </r>
  <r>
    <x v="229"/>
    <x v="1"/>
    <s v="Trading"/>
    <n v="631617"/>
    <n v="38"/>
    <n v="49"/>
    <s v="Stable"/>
    <n v="1"/>
    <s v="High"/>
    <s v="High"/>
    <s v="Low"/>
    <s v="Low"/>
    <s v="Medium"/>
    <n v="2"/>
    <n v="0"/>
    <n v="0"/>
    <n v="1"/>
    <n v="3"/>
    <x v="1"/>
  </r>
  <r>
    <x v="230"/>
    <x v="3"/>
    <s v="Trading"/>
    <n v="1483537"/>
    <n v="3"/>
    <n v="75"/>
    <s v="Stable"/>
    <n v="3"/>
    <s v="Medium"/>
    <s v="Low"/>
    <s v="Low"/>
    <s v="Low"/>
    <s v="High"/>
    <n v="0"/>
    <n v="0"/>
    <n v="0"/>
    <n v="2"/>
    <n v="2"/>
    <x v="2"/>
  </r>
  <r>
    <x v="231"/>
    <x v="1"/>
    <s v="Services"/>
    <n v="1240102"/>
    <n v="7"/>
    <n v="64"/>
    <s v="Increasing"/>
    <n v="3"/>
    <s v="High"/>
    <s v="Low"/>
    <s v="Low"/>
    <s v="Low"/>
    <s v="High"/>
    <n v="0"/>
    <n v="0"/>
    <n v="0"/>
    <n v="2"/>
    <n v="2"/>
    <x v="2"/>
  </r>
  <r>
    <x v="232"/>
    <x v="0"/>
    <s v="Trading"/>
    <n v="453736"/>
    <n v="43"/>
    <n v="70"/>
    <s v="Increasing"/>
    <n v="0"/>
    <s v="Low"/>
    <s v="High"/>
    <s v="Low"/>
    <s v="Low"/>
    <s v="Low"/>
    <n v="2"/>
    <n v="0"/>
    <n v="0"/>
    <n v="0"/>
    <n v="2"/>
    <x v="2"/>
  </r>
  <r>
    <x v="233"/>
    <x v="2"/>
    <s v="Manufacturing"/>
    <n v="1212121"/>
    <n v="18"/>
    <n v="78"/>
    <s v="Increasing"/>
    <n v="2"/>
    <s v="Medium"/>
    <s v="Medium"/>
    <s v="Medium"/>
    <s v="Low"/>
    <s v="Low"/>
    <n v="1"/>
    <n v="1"/>
    <n v="0"/>
    <n v="0"/>
    <n v="2"/>
    <x v="2"/>
  </r>
  <r>
    <x v="234"/>
    <x v="4"/>
    <s v="Services"/>
    <n v="130095"/>
    <n v="42"/>
    <n v="52"/>
    <s v="Increasing"/>
    <n v="2"/>
    <s v="High"/>
    <s v="High"/>
    <s v="Low"/>
    <s v="Low"/>
    <s v="Low"/>
    <n v="2"/>
    <n v="0"/>
    <n v="0"/>
    <n v="0"/>
    <n v="2"/>
    <x v="2"/>
  </r>
  <r>
    <x v="235"/>
    <x v="1"/>
    <s v="Manufacturing"/>
    <n v="1217515"/>
    <n v="21"/>
    <n v="81"/>
    <s v="Stable"/>
    <n v="0"/>
    <s v="High"/>
    <s v="Medium"/>
    <s v="Medium"/>
    <s v="Low"/>
    <s v="Low"/>
    <n v="1"/>
    <n v="1"/>
    <n v="0"/>
    <n v="0"/>
    <n v="2"/>
    <x v="2"/>
  </r>
  <r>
    <x v="236"/>
    <x v="0"/>
    <s v="Trading"/>
    <n v="344806"/>
    <n v="14"/>
    <n v="41"/>
    <s v="Stable"/>
    <n v="1"/>
    <s v="Low"/>
    <s v="Medium"/>
    <s v="Low"/>
    <s v="Low"/>
    <s v="Medium"/>
    <n v="1"/>
    <n v="0"/>
    <n v="0"/>
    <n v="1"/>
    <n v="2"/>
    <x v="2"/>
  </r>
  <r>
    <x v="237"/>
    <x v="4"/>
    <s v="Services"/>
    <n v="1464970"/>
    <n v="43"/>
    <n v="74"/>
    <s v="Increasing"/>
    <n v="2"/>
    <s v="High"/>
    <s v="High"/>
    <s v="Low"/>
    <s v="Low"/>
    <s v="Low"/>
    <n v="2"/>
    <n v="0"/>
    <n v="0"/>
    <n v="0"/>
    <n v="2"/>
    <x v="2"/>
  </r>
  <r>
    <x v="238"/>
    <x v="1"/>
    <s v="Logistics"/>
    <n v="1139487"/>
    <n v="7"/>
    <n v="60"/>
    <s v="Stable"/>
    <n v="5"/>
    <s v="Low"/>
    <s v="Low"/>
    <s v="Low"/>
    <s v="Low"/>
    <s v="High"/>
    <n v="0"/>
    <n v="0"/>
    <n v="0"/>
    <n v="2"/>
    <n v="2"/>
    <x v="2"/>
  </r>
  <r>
    <x v="239"/>
    <x v="1"/>
    <s v="Manufacturing"/>
    <n v="425875"/>
    <n v="0"/>
    <n v="62"/>
    <s v="Stable"/>
    <n v="4"/>
    <s v="Low"/>
    <s v="Low"/>
    <s v="Low"/>
    <s v="Low"/>
    <s v="High"/>
    <n v="0"/>
    <n v="0"/>
    <n v="0"/>
    <n v="2"/>
    <n v="2"/>
    <x v="2"/>
  </r>
  <r>
    <x v="240"/>
    <x v="1"/>
    <s v="Services"/>
    <n v="630545"/>
    <n v="36"/>
    <n v="40"/>
    <s v="Increasing"/>
    <n v="2"/>
    <s v="Low"/>
    <s v="High"/>
    <s v="Low"/>
    <s v="Low"/>
    <s v="Low"/>
    <n v="2"/>
    <n v="0"/>
    <n v="0"/>
    <n v="0"/>
    <n v="2"/>
    <x v="2"/>
  </r>
  <r>
    <x v="241"/>
    <x v="0"/>
    <s v="Manufacturing"/>
    <n v="1013560"/>
    <n v="8"/>
    <n v="72"/>
    <s v="Stable"/>
    <n v="3"/>
    <s v="Low"/>
    <s v="Low"/>
    <s v="Low"/>
    <s v="Low"/>
    <s v="High"/>
    <n v="0"/>
    <n v="0"/>
    <n v="0"/>
    <n v="2"/>
    <n v="2"/>
    <x v="2"/>
  </r>
  <r>
    <x v="242"/>
    <x v="3"/>
    <s v="Trading"/>
    <n v="842301"/>
    <n v="1"/>
    <n v="44"/>
    <s v="Stable"/>
    <n v="4"/>
    <s v="High"/>
    <s v="Low"/>
    <s v="Low"/>
    <s v="Low"/>
    <s v="High"/>
    <n v="0"/>
    <n v="0"/>
    <n v="0"/>
    <n v="2"/>
    <n v="2"/>
    <x v="2"/>
  </r>
  <r>
    <x v="243"/>
    <x v="1"/>
    <s v="Manufacturing"/>
    <n v="1495679"/>
    <n v="1"/>
    <n v="74"/>
    <s v="Declining"/>
    <n v="2"/>
    <s v="Medium"/>
    <s v="Low"/>
    <s v="Low"/>
    <s v="High"/>
    <s v="Low"/>
    <n v="0"/>
    <n v="0"/>
    <n v="2"/>
    <n v="0"/>
    <n v="2"/>
    <x v="2"/>
  </r>
  <r>
    <x v="244"/>
    <x v="3"/>
    <s v="Retail"/>
    <n v="385203"/>
    <n v="53"/>
    <n v="60"/>
    <s v="Increasing"/>
    <n v="2"/>
    <s v="Medium"/>
    <s v="High"/>
    <s v="Low"/>
    <s v="Low"/>
    <s v="Low"/>
    <n v="2"/>
    <n v="0"/>
    <n v="0"/>
    <n v="0"/>
    <n v="2"/>
    <x v="2"/>
  </r>
  <r>
    <x v="245"/>
    <x v="3"/>
    <s v="Manufacturing"/>
    <n v="1318427"/>
    <n v="23"/>
    <n v="78"/>
    <s v="Increasing"/>
    <n v="2"/>
    <s v="Medium"/>
    <s v="Medium"/>
    <s v="Medium"/>
    <s v="Low"/>
    <s v="Low"/>
    <n v="1"/>
    <n v="1"/>
    <n v="0"/>
    <n v="0"/>
    <n v="2"/>
    <x v="2"/>
  </r>
  <r>
    <x v="246"/>
    <x v="0"/>
    <s v="Manufacturing"/>
    <n v="583563"/>
    <n v="8"/>
    <n v="93"/>
    <s v="Increasing"/>
    <n v="2"/>
    <s v="Medium"/>
    <s v="Low"/>
    <s v="High"/>
    <s v="Low"/>
    <s v="Low"/>
    <n v="0"/>
    <n v="2"/>
    <n v="0"/>
    <n v="0"/>
    <n v="2"/>
    <x v="2"/>
  </r>
  <r>
    <x v="247"/>
    <x v="4"/>
    <s v="Manufacturing"/>
    <n v="362611"/>
    <n v="21"/>
    <n v="82"/>
    <s v="Increasing"/>
    <n v="0"/>
    <s v="High"/>
    <s v="Medium"/>
    <s v="Medium"/>
    <s v="Low"/>
    <s v="Low"/>
    <n v="1"/>
    <n v="1"/>
    <n v="0"/>
    <n v="0"/>
    <n v="2"/>
    <x v="2"/>
  </r>
  <r>
    <x v="248"/>
    <x v="2"/>
    <s v="Services"/>
    <n v="743265"/>
    <n v="41"/>
    <n v="64"/>
    <s v="Stable"/>
    <n v="0"/>
    <s v="Low"/>
    <s v="High"/>
    <s v="Low"/>
    <s v="Low"/>
    <s v="Low"/>
    <n v="2"/>
    <n v="0"/>
    <n v="0"/>
    <n v="0"/>
    <n v="2"/>
    <x v="2"/>
  </r>
  <r>
    <x v="249"/>
    <x v="3"/>
    <s v="Retail"/>
    <n v="574790"/>
    <n v="47"/>
    <n v="53"/>
    <s v="Increasing"/>
    <n v="2"/>
    <s v="High"/>
    <s v="High"/>
    <s v="Low"/>
    <s v="Low"/>
    <s v="Low"/>
    <n v="2"/>
    <n v="0"/>
    <n v="0"/>
    <n v="0"/>
    <n v="2"/>
    <x v="2"/>
  </r>
  <r>
    <x v="250"/>
    <x v="4"/>
    <s v="Services"/>
    <n v="1080099"/>
    <n v="20"/>
    <n v="84"/>
    <s v="Increasing"/>
    <n v="2"/>
    <s v="High"/>
    <s v="Medium"/>
    <s v="Medium"/>
    <s v="Low"/>
    <s v="Low"/>
    <n v="1"/>
    <n v="1"/>
    <n v="0"/>
    <n v="0"/>
    <n v="2"/>
    <x v="2"/>
  </r>
  <r>
    <x v="251"/>
    <x v="1"/>
    <s v="Manufacturing"/>
    <n v="748448"/>
    <n v="5"/>
    <n v="68"/>
    <s v="Declining"/>
    <n v="0"/>
    <s v="High"/>
    <s v="Low"/>
    <s v="Low"/>
    <s v="High"/>
    <s v="Low"/>
    <n v="0"/>
    <n v="0"/>
    <n v="2"/>
    <n v="0"/>
    <n v="2"/>
    <x v="2"/>
  </r>
  <r>
    <x v="252"/>
    <x v="4"/>
    <s v="Services"/>
    <n v="1351202"/>
    <n v="10"/>
    <n v="62"/>
    <s v="Declining"/>
    <n v="2"/>
    <s v="Low"/>
    <s v="Low"/>
    <s v="Low"/>
    <s v="High"/>
    <s v="Low"/>
    <n v="0"/>
    <n v="0"/>
    <n v="2"/>
    <n v="0"/>
    <n v="2"/>
    <x v="2"/>
  </r>
  <r>
    <x v="253"/>
    <x v="1"/>
    <s v="Logistics"/>
    <n v="1390257"/>
    <n v="10"/>
    <n v="73"/>
    <s v="Increasing"/>
    <n v="4"/>
    <s v="High"/>
    <s v="Low"/>
    <s v="Low"/>
    <s v="Low"/>
    <s v="High"/>
    <n v="0"/>
    <n v="0"/>
    <n v="0"/>
    <n v="2"/>
    <n v="2"/>
    <x v="2"/>
  </r>
  <r>
    <x v="254"/>
    <x v="0"/>
    <s v="Retail"/>
    <n v="602317"/>
    <n v="9"/>
    <n v="56"/>
    <s v="Stable"/>
    <n v="5"/>
    <s v="Low"/>
    <s v="Low"/>
    <s v="Low"/>
    <s v="Low"/>
    <s v="High"/>
    <n v="0"/>
    <n v="0"/>
    <n v="0"/>
    <n v="2"/>
    <n v="2"/>
    <x v="2"/>
  </r>
  <r>
    <x v="255"/>
    <x v="2"/>
    <s v="Trading"/>
    <n v="1376561"/>
    <n v="7"/>
    <n v="86"/>
    <s v="Increasing"/>
    <n v="1"/>
    <s v="High"/>
    <s v="Low"/>
    <s v="Medium"/>
    <s v="Low"/>
    <s v="Medium"/>
    <n v="0"/>
    <n v="1"/>
    <n v="0"/>
    <n v="1"/>
    <n v="2"/>
    <x v="2"/>
  </r>
  <r>
    <x v="256"/>
    <x v="2"/>
    <s v="Trading"/>
    <n v="1267864"/>
    <n v="48"/>
    <n v="44"/>
    <s v="Increasing"/>
    <n v="0"/>
    <s v="High"/>
    <s v="High"/>
    <s v="Low"/>
    <s v="Low"/>
    <s v="Low"/>
    <n v="2"/>
    <n v="0"/>
    <n v="0"/>
    <n v="0"/>
    <n v="2"/>
    <x v="2"/>
  </r>
  <r>
    <x v="257"/>
    <x v="4"/>
    <s v="Trading"/>
    <n v="773001"/>
    <n v="42"/>
    <n v="55"/>
    <s v="Stable"/>
    <n v="0"/>
    <s v="Low"/>
    <s v="High"/>
    <s v="Low"/>
    <s v="Low"/>
    <s v="Low"/>
    <n v="2"/>
    <n v="0"/>
    <n v="0"/>
    <n v="0"/>
    <n v="2"/>
    <x v="2"/>
  </r>
  <r>
    <x v="258"/>
    <x v="2"/>
    <s v="Retail"/>
    <n v="833004"/>
    <n v="5"/>
    <n v="53"/>
    <s v="Increasing"/>
    <n v="5"/>
    <s v="Low"/>
    <s v="Low"/>
    <s v="Low"/>
    <s v="Low"/>
    <s v="High"/>
    <n v="0"/>
    <n v="0"/>
    <n v="0"/>
    <n v="2"/>
    <n v="2"/>
    <x v="2"/>
  </r>
  <r>
    <x v="259"/>
    <x v="3"/>
    <s v="Trading"/>
    <n v="952139"/>
    <n v="57"/>
    <n v="63"/>
    <s v="Increasing"/>
    <n v="2"/>
    <s v="High"/>
    <s v="High"/>
    <s v="Low"/>
    <s v="Low"/>
    <s v="Low"/>
    <n v="2"/>
    <n v="0"/>
    <n v="0"/>
    <n v="0"/>
    <n v="2"/>
    <x v="2"/>
  </r>
  <r>
    <x v="260"/>
    <x v="0"/>
    <s v="Retail"/>
    <n v="538532"/>
    <n v="23"/>
    <n v="71"/>
    <s v="Increasing"/>
    <n v="1"/>
    <s v="Low"/>
    <s v="Medium"/>
    <s v="Low"/>
    <s v="Low"/>
    <s v="Medium"/>
    <n v="1"/>
    <n v="0"/>
    <n v="0"/>
    <n v="1"/>
    <n v="2"/>
    <x v="2"/>
  </r>
  <r>
    <x v="261"/>
    <x v="2"/>
    <s v="Trading"/>
    <n v="1011868"/>
    <n v="3"/>
    <n v="46"/>
    <s v="Stable"/>
    <n v="4"/>
    <s v="High"/>
    <s v="Low"/>
    <s v="Low"/>
    <s v="Low"/>
    <s v="High"/>
    <n v="0"/>
    <n v="0"/>
    <n v="0"/>
    <n v="2"/>
    <n v="2"/>
    <x v="2"/>
  </r>
  <r>
    <x v="262"/>
    <x v="3"/>
    <s v="Trading"/>
    <n v="642323"/>
    <n v="6"/>
    <n v="44"/>
    <s v="Increasing"/>
    <n v="5"/>
    <s v="Medium"/>
    <s v="Low"/>
    <s v="Low"/>
    <s v="Low"/>
    <s v="High"/>
    <n v="0"/>
    <n v="0"/>
    <n v="0"/>
    <n v="2"/>
    <n v="2"/>
    <x v="2"/>
  </r>
  <r>
    <x v="263"/>
    <x v="2"/>
    <s v="Retail"/>
    <n v="196641"/>
    <n v="4"/>
    <n v="60"/>
    <s v="Increasing"/>
    <n v="4"/>
    <s v="High"/>
    <s v="Low"/>
    <s v="Low"/>
    <s v="Low"/>
    <s v="High"/>
    <n v="0"/>
    <n v="0"/>
    <n v="0"/>
    <n v="2"/>
    <n v="2"/>
    <x v="2"/>
  </r>
  <r>
    <x v="264"/>
    <x v="0"/>
    <s v="Retail"/>
    <n v="406038"/>
    <n v="49"/>
    <n v="56"/>
    <s v="Stable"/>
    <n v="0"/>
    <s v="Medium"/>
    <s v="High"/>
    <s v="Low"/>
    <s v="Low"/>
    <s v="Low"/>
    <n v="2"/>
    <n v="0"/>
    <n v="0"/>
    <n v="0"/>
    <n v="2"/>
    <x v="2"/>
  </r>
  <r>
    <x v="265"/>
    <x v="0"/>
    <s v="Retail"/>
    <n v="374834"/>
    <n v="8"/>
    <n v="74"/>
    <s v="Stable"/>
    <n v="4"/>
    <s v="Low"/>
    <s v="Low"/>
    <s v="Low"/>
    <s v="Low"/>
    <s v="High"/>
    <n v="0"/>
    <n v="0"/>
    <n v="0"/>
    <n v="2"/>
    <n v="2"/>
    <x v="2"/>
  </r>
  <r>
    <x v="266"/>
    <x v="0"/>
    <s v="Retail"/>
    <n v="472011"/>
    <n v="0"/>
    <n v="67"/>
    <s v="Increasing"/>
    <n v="5"/>
    <s v="High"/>
    <s v="Low"/>
    <s v="Low"/>
    <s v="Low"/>
    <s v="High"/>
    <n v="0"/>
    <n v="0"/>
    <n v="0"/>
    <n v="2"/>
    <n v="2"/>
    <x v="2"/>
  </r>
  <r>
    <x v="267"/>
    <x v="1"/>
    <s v="Services"/>
    <n v="1070215"/>
    <n v="13"/>
    <n v="49"/>
    <s v="Increasing"/>
    <n v="1"/>
    <s v="High"/>
    <s v="Medium"/>
    <s v="Low"/>
    <s v="Low"/>
    <s v="Medium"/>
    <n v="1"/>
    <n v="0"/>
    <n v="0"/>
    <n v="1"/>
    <n v="2"/>
    <x v="2"/>
  </r>
  <r>
    <x v="268"/>
    <x v="3"/>
    <s v="Logistics"/>
    <n v="434371"/>
    <n v="1"/>
    <n v="41"/>
    <s v="Stable"/>
    <n v="4"/>
    <s v="High"/>
    <s v="Low"/>
    <s v="Low"/>
    <s v="Low"/>
    <s v="High"/>
    <n v="0"/>
    <n v="0"/>
    <n v="0"/>
    <n v="2"/>
    <n v="2"/>
    <x v="2"/>
  </r>
  <r>
    <x v="269"/>
    <x v="2"/>
    <s v="Services"/>
    <n v="652001"/>
    <n v="5"/>
    <n v="72"/>
    <s v="Increasing"/>
    <n v="5"/>
    <s v="Low"/>
    <s v="Low"/>
    <s v="Low"/>
    <s v="Low"/>
    <s v="High"/>
    <n v="0"/>
    <n v="0"/>
    <n v="0"/>
    <n v="2"/>
    <n v="2"/>
    <x v="2"/>
  </r>
  <r>
    <x v="270"/>
    <x v="4"/>
    <s v="Services"/>
    <n v="320517"/>
    <n v="44"/>
    <n v="58"/>
    <s v="Stable"/>
    <n v="0"/>
    <s v="Medium"/>
    <s v="High"/>
    <s v="Low"/>
    <s v="Low"/>
    <s v="Low"/>
    <n v="2"/>
    <n v="0"/>
    <n v="0"/>
    <n v="0"/>
    <n v="2"/>
    <x v="2"/>
  </r>
  <r>
    <x v="271"/>
    <x v="4"/>
    <s v="Services"/>
    <n v="1436583"/>
    <n v="8"/>
    <n v="92"/>
    <s v="Increasing"/>
    <n v="2"/>
    <s v="Low"/>
    <s v="Low"/>
    <s v="High"/>
    <s v="Low"/>
    <s v="Low"/>
    <n v="0"/>
    <n v="2"/>
    <n v="0"/>
    <n v="0"/>
    <n v="2"/>
    <x v="2"/>
  </r>
  <r>
    <x v="272"/>
    <x v="2"/>
    <s v="Manufacturing"/>
    <n v="1359467"/>
    <n v="27"/>
    <n v="72"/>
    <s v="Increasing"/>
    <n v="1"/>
    <s v="High"/>
    <s v="Medium"/>
    <s v="Low"/>
    <s v="Low"/>
    <s v="Medium"/>
    <n v="1"/>
    <n v="0"/>
    <n v="0"/>
    <n v="1"/>
    <n v="2"/>
    <x v="2"/>
  </r>
  <r>
    <x v="273"/>
    <x v="4"/>
    <s v="Services"/>
    <n v="1160154"/>
    <n v="0"/>
    <n v="41"/>
    <s v="Increasing"/>
    <n v="3"/>
    <s v="Medium"/>
    <s v="Low"/>
    <s v="Low"/>
    <s v="Low"/>
    <s v="High"/>
    <n v="0"/>
    <n v="0"/>
    <n v="0"/>
    <n v="2"/>
    <n v="2"/>
    <x v="2"/>
  </r>
  <r>
    <x v="274"/>
    <x v="1"/>
    <s v="Manufacturing"/>
    <n v="360152"/>
    <n v="29"/>
    <n v="84"/>
    <s v="Increasing"/>
    <n v="0"/>
    <s v="High"/>
    <s v="Medium"/>
    <s v="Medium"/>
    <s v="Low"/>
    <s v="Low"/>
    <n v="1"/>
    <n v="1"/>
    <n v="0"/>
    <n v="0"/>
    <n v="2"/>
    <x v="2"/>
  </r>
  <r>
    <x v="275"/>
    <x v="0"/>
    <s v="Logistics"/>
    <n v="1181825"/>
    <n v="6"/>
    <n v="57"/>
    <s v="Stable"/>
    <n v="1"/>
    <s v="Medium"/>
    <s v="Low"/>
    <s v="Low"/>
    <s v="Low"/>
    <s v="Medium"/>
    <n v="0"/>
    <n v="0"/>
    <n v="0"/>
    <n v="1"/>
    <n v="1"/>
    <x v="2"/>
  </r>
  <r>
    <x v="276"/>
    <x v="3"/>
    <s v="Services"/>
    <n v="1013589"/>
    <n v="3"/>
    <n v="43"/>
    <s v="Stable"/>
    <n v="1"/>
    <s v="High"/>
    <s v="Low"/>
    <s v="Low"/>
    <s v="Low"/>
    <s v="Medium"/>
    <n v="0"/>
    <n v="0"/>
    <n v="0"/>
    <n v="1"/>
    <n v="1"/>
    <x v="2"/>
  </r>
  <r>
    <x v="277"/>
    <x v="2"/>
    <s v="Logistics"/>
    <n v="1014802"/>
    <n v="26"/>
    <n v="47"/>
    <s v="Increasing"/>
    <n v="0"/>
    <s v="Low"/>
    <s v="Medium"/>
    <s v="Low"/>
    <s v="Low"/>
    <s v="Low"/>
    <n v="1"/>
    <n v="0"/>
    <n v="0"/>
    <n v="0"/>
    <n v="1"/>
    <x v="2"/>
  </r>
  <r>
    <x v="278"/>
    <x v="0"/>
    <s v="Retail"/>
    <n v="1021313"/>
    <n v="5"/>
    <n v="54"/>
    <s v="Increasing"/>
    <n v="1"/>
    <s v="Medium"/>
    <s v="Low"/>
    <s v="Low"/>
    <s v="Low"/>
    <s v="Medium"/>
    <n v="0"/>
    <n v="0"/>
    <n v="0"/>
    <n v="1"/>
    <n v="1"/>
    <x v="2"/>
  </r>
  <r>
    <x v="279"/>
    <x v="0"/>
    <s v="Services"/>
    <n v="449339"/>
    <n v="25"/>
    <n v="74"/>
    <s v="Increasing"/>
    <n v="0"/>
    <s v="High"/>
    <s v="Medium"/>
    <s v="Low"/>
    <s v="Low"/>
    <s v="Low"/>
    <n v="1"/>
    <n v="0"/>
    <n v="0"/>
    <n v="0"/>
    <n v="1"/>
    <x v="2"/>
  </r>
  <r>
    <x v="280"/>
    <x v="2"/>
    <s v="Retail"/>
    <n v="139550"/>
    <n v="10"/>
    <n v="85"/>
    <s v="Increasing"/>
    <n v="2"/>
    <s v="Medium"/>
    <s v="Low"/>
    <s v="Medium"/>
    <s v="Low"/>
    <s v="Low"/>
    <n v="0"/>
    <n v="1"/>
    <n v="0"/>
    <n v="0"/>
    <n v="1"/>
    <x v="2"/>
  </r>
  <r>
    <x v="281"/>
    <x v="4"/>
    <s v="Logistics"/>
    <n v="1294129"/>
    <n v="26"/>
    <n v="45"/>
    <s v="Increasing"/>
    <n v="2"/>
    <s v="High"/>
    <s v="Medium"/>
    <s v="Low"/>
    <s v="Low"/>
    <s v="Low"/>
    <n v="1"/>
    <n v="0"/>
    <n v="0"/>
    <n v="0"/>
    <n v="1"/>
    <x v="2"/>
  </r>
  <r>
    <x v="282"/>
    <x v="0"/>
    <s v="Services"/>
    <n v="1330956"/>
    <n v="27"/>
    <n v="42"/>
    <s v="Stable"/>
    <n v="0"/>
    <s v="Medium"/>
    <s v="Medium"/>
    <s v="Low"/>
    <s v="Low"/>
    <s v="Low"/>
    <n v="1"/>
    <n v="0"/>
    <n v="0"/>
    <n v="0"/>
    <n v="1"/>
    <x v="2"/>
  </r>
  <r>
    <x v="283"/>
    <x v="4"/>
    <s v="Services"/>
    <n v="840734"/>
    <n v="1"/>
    <n v="88"/>
    <s v="Increasing"/>
    <n v="0"/>
    <s v="Medium"/>
    <s v="Low"/>
    <s v="Medium"/>
    <s v="Low"/>
    <s v="Low"/>
    <n v="0"/>
    <n v="1"/>
    <n v="0"/>
    <n v="0"/>
    <n v="1"/>
    <x v="2"/>
  </r>
  <r>
    <x v="284"/>
    <x v="2"/>
    <s v="Manufacturing"/>
    <n v="539825"/>
    <n v="26"/>
    <n v="52"/>
    <s v="Stable"/>
    <n v="0"/>
    <s v="Medium"/>
    <s v="Medium"/>
    <s v="Low"/>
    <s v="Low"/>
    <s v="Low"/>
    <n v="1"/>
    <n v="0"/>
    <n v="0"/>
    <n v="0"/>
    <n v="1"/>
    <x v="2"/>
  </r>
  <r>
    <x v="285"/>
    <x v="1"/>
    <s v="Retail"/>
    <n v="619838"/>
    <n v="1"/>
    <n v="89"/>
    <s v="Stable"/>
    <n v="0"/>
    <s v="Medium"/>
    <s v="Low"/>
    <s v="Medium"/>
    <s v="Low"/>
    <s v="Low"/>
    <n v="0"/>
    <n v="1"/>
    <n v="0"/>
    <n v="0"/>
    <n v="1"/>
    <x v="2"/>
  </r>
  <r>
    <x v="286"/>
    <x v="0"/>
    <s v="Manufacturing"/>
    <n v="306386"/>
    <n v="22"/>
    <n v="63"/>
    <s v="Stable"/>
    <n v="2"/>
    <s v="Medium"/>
    <s v="Medium"/>
    <s v="Low"/>
    <s v="Low"/>
    <s v="Low"/>
    <n v="1"/>
    <n v="0"/>
    <n v="0"/>
    <n v="0"/>
    <n v="1"/>
    <x v="2"/>
  </r>
  <r>
    <x v="287"/>
    <x v="4"/>
    <s v="Logistics"/>
    <n v="1096013"/>
    <n v="10"/>
    <n v="63"/>
    <s v="Increasing"/>
    <n v="1"/>
    <s v="Low"/>
    <s v="Low"/>
    <s v="Low"/>
    <s v="Low"/>
    <s v="Medium"/>
    <n v="0"/>
    <n v="0"/>
    <n v="0"/>
    <n v="1"/>
    <n v="1"/>
    <x v="2"/>
  </r>
  <r>
    <x v="288"/>
    <x v="3"/>
    <s v="Logistics"/>
    <n v="1288918"/>
    <n v="3"/>
    <n v="88"/>
    <s v="Stable"/>
    <n v="2"/>
    <s v="Medium"/>
    <s v="Low"/>
    <s v="Medium"/>
    <s v="Low"/>
    <s v="Low"/>
    <n v="0"/>
    <n v="1"/>
    <n v="0"/>
    <n v="0"/>
    <n v="1"/>
    <x v="2"/>
  </r>
  <r>
    <x v="289"/>
    <x v="2"/>
    <s v="Trading"/>
    <n v="1447909"/>
    <n v="17"/>
    <n v="51"/>
    <s v="Increasing"/>
    <n v="2"/>
    <s v="Low"/>
    <s v="Medium"/>
    <s v="Low"/>
    <s v="Low"/>
    <s v="Low"/>
    <n v="1"/>
    <n v="0"/>
    <n v="0"/>
    <n v="0"/>
    <n v="1"/>
    <x v="2"/>
  </r>
  <r>
    <x v="290"/>
    <x v="2"/>
    <s v="Logistics"/>
    <n v="475120"/>
    <n v="20"/>
    <n v="73"/>
    <s v="Stable"/>
    <n v="0"/>
    <s v="High"/>
    <s v="Medium"/>
    <s v="Low"/>
    <s v="Low"/>
    <s v="Low"/>
    <n v="1"/>
    <n v="0"/>
    <n v="0"/>
    <n v="0"/>
    <n v="1"/>
    <x v="2"/>
  </r>
  <r>
    <x v="291"/>
    <x v="0"/>
    <s v="Logistics"/>
    <n v="100125"/>
    <n v="30"/>
    <n v="60"/>
    <s v="Increasing"/>
    <n v="2"/>
    <s v="High"/>
    <s v="Medium"/>
    <s v="Low"/>
    <s v="Low"/>
    <s v="Low"/>
    <n v="1"/>
    <n v="0"/>
    <n v="0"/>
    <n v="0"/>
    <n v="1"/>
    <x v="2"/>
  </r>
  <r>
    <x v="292"/>
    <x v="4"/>
    <s v="Trading"/>
    <n v="875251"/>
    <n v="17"/>
    <n v="65"/>
    <s v="Increasing"/>
    <n v="0"/>
    <s v="Medium"/>
    <s v="Medium"/>
    <s v="Low"/>
    <s v="Low"/>
    <s v="Low"/>
    <n v="1"/>
    <n v="0"/>
    <n v="0"/>
    <n v="0"/>
    <n v="1"/>
    <x v="2"/>
  </r>
  <r>
    <x v="293"/>
    <x v="3"/>
    <s v="Logistics"/>
    <n v="165090"/>
    <n v="10"/>
    <n v="48"/>
    <s v="Increasing"/>
    <n v="0"/>
    <s v="High"/>
    <s v="Low"/>
    <s v="Low"/>
    <s v="Low"/>
    <s v="Low"/>
    <n v="0"/>
    <n v="0"/>
    <n v="0"/>
    <n v="0"/>
    <n v="0"/>
    <x v="2"/>
  </r>
  <r>
    <x v="294"/>
    <x v="0"/>
    <s v="Manufacturing"/>
    <n v="633134"/>
    <n v="2"/>
    <n v="73"/>
    <s v="Increasing"/>
    <n v="0"/>
    <s v="High"/>
    <s v="Low"/>
    <s v="Low"/>
    <s v="Low"/>
    <s v="Low"/>
    <n v="0"/>
    <n v="0"/>
    <n v="0"/>
    <n v="0"/>
    <n v="0"/>
    <x v="2"/>
  </r>
  <r>
    <x v="295"/>
    <x v="3"/>
    <s v="Services"/>
    <n v="718085"/>
    <n v="0"/>
    <n v="48"/>
    <s v="Increasing"/>
    <n v="2"/>
    <s v="High"/>
    <s v="Low"/>
    <s v="Low"/>
    <s v="Low"/>
    <s v="Low"/>
    <n v="0"/>
    <n v="0"/>
    <n v="0"/>
    <n v="0"/>
    <n v="0"/>
    <x v="2"/>
  </r>
  <r>
    <x v="296"/>
    <x v="2"/>
    <s v="Services"/>
    <n v="411559"/>
    <n v="6"/>
    <n v="67"/>
    <s v="Increasing"/>
    <n v="2"/>
    <s v="Medium"/>
    <s v="Low"/>
    <s v="Low"/>
    <s v="Low"/>
    <s v="Low"/>
    <n v="0"/>
    <n v="0"/>
    <n v="0"/>
    <n v="0"/>
    <n v="0"/>
    <x v="2"/>
  </r>
  <r>
    <x v="297"/>
    <x v="0"/>
    <s v="Logistics"/>
    <n v="1116646"/>
    <n v="9"/>
    <n v="47"/>
    <s v="Stable"/>
    <n v="2"/>
    <s v="Low"/>
    <s v="Low"/>
    <s v="Low"/>
    <s v="Low"/>
    <s v="Low"/>
    <n v="0"/>
    <n v="0"/>
    <n v="0"/>
    <n v="0"/>
    <n v="0"/>
    <x v="2"/>
  </r>
  <r>
    <x v="298"/>
    <x v="1"/>
    <s v="Services"/>
    <n v="649608"/>
    <n v="0"/>
    <n v="58"/>
    <s v="Increasing"/>
    <n v="0"/>
    <s v="High"/>
    <s v="Low"/>
    <s v="Low"/>
    <s v="Low"/>
    <s v="Low"/>
    <n v="0"/>
    <n v="0"/>
    <n v="0"/>
    <n v="0"/>
    <n v="0"/>
    <x v="2"/>
  </r>
  <r>
    <x v="299"/>
    <x v="3"/>
    <s v="Trading"/>
    <n v="639159"/>
    <n v="4"/>
    <n v="72"/>
    <s v="Increasing"/>
    <n v="0"/>
    <s v="Low"/>
    <s v="Low"/>
    <s v="Low"/>
    <s v="Low"/>
    <s v="Low"/>
    <n v="0"/>
    <n v="0"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0"/>
    <x v="0"/>
    <s v="Logistics"/>
    <n v="452622"/>
    <n v="35"/>
    <n v="95"/>
    <s v="Declining"/>
    <n v="3"/>
    <s v="Low"/>
    <s v="High"/>
    <s v="High"/>
    <s v="High"/>
    <s v="High"/>
    <n v="2"/>
    <n v="2"/>
    <n v="2"/>
    <n v="2"/>
    <n v="8"/>
    <s v="High Risk"/>
  </r>
  <r>
    <x v="1"/>
    <x v="0"/>
    <s v="Services"/>
    <n v="696874"/>
    <n v="57"/>
    <n v="96"/>
    <s v="Declining"/>
    <n v="4"/>
    <s v="High"/>
    <s v="High"/>
    <s v="High"/>
    <s v="High"/>
    <s v="High"/>
    <n v="2"/>
    <n v="2"/>
    <n v="2"/>
    <n v="2"/>
    <n v="8"/>
    <s v="High Risk"/>
  </r>
  <r>
    <x v="2"/>
    <x v="1"/>
    <s v="Logistics"/>
    <n v="814655"/>
    <n v="37"/>
    <n v="96"/>
    <s v="Declining"/>
    <n v="3"/>
    <s v="Low"/>
    <s v="High"/>
    <s v="High"/>
    <s v="High"/>
    <s v="High"/>
    <n v="2"/>
    <n v="2"/>
    <n v="2"/>
    <n v="2"/>
    <n v="8"/>
    <s v="High Risk"/>
  </r>
  <r>
    <x v="3"/>
    <x v="0"/>
    <s v="Trading"/>
    <n v="226292"/>
    <n v="46"/>
    <n v="87"/>
    <s v="Declining"/>
    <n v="4"/>
    <s v="Low"/>
    <s v="High"/>
    <s v="Medium"/>
    <s v="High"/>
    <s v="High"/>
    <n v="2"/>
    <n v="1"/>
    <n v="2"/>
    <n v="2"/>
    <n v="7"/>
    <s v="High Risk"/>
  </r>
  <r>
    <x v="4"/>
    <x v="2"/>
    <s v="Trading"/>
    <n v="229463"/>
    <n v="57"/>
    <n v="77"/>
    <s v="Declining"/>
    <n v="3"/>
    <s v="Medium"/>
    <s v="High"/>
    <s v="Medium"/>
    <s v="High"/>
    <s v="High"/>
    <n v="2"/>
    <n v="1"/>
    <n v="2"/>
    <n v="2"/>
    <n v="7"/>
    <s v="High Risk"/>
  </r>
  <r>
    <x v="5"/>
    <x v="3"/>
    <s v="Retail"/>
    <n v="115627"/>
    <n v="54"/>
    <n v="88"/>
    <s v="Declining"/>
    <n v="3"/>
    <s v="High"/>
    <s v="High"/>
    <s v="Medium"/>
    <s v="High"/>
    <s v="High"/>
    <n v="2"/>
    <n v="1"/>
    <n v="2"/>
    <n v="2"/>
    <n v="7"/>
    <s v="High Risk"/>
  </r>
  <r>
    <x v="6"/>
    <x v="1"/>
    <s v="Services"/>
    <n v="1013861"/>
    <n v="14"/>
    <n v="91"/>
    <s v="Declining"/>
    <n v="4"/>
    <s v="Medium"/>
    <s v="Medium"/>
    <s v="High"/>
    <s v="High"/>
    <s v="High"/>
    <n v="1"/>
    <n v="2"/>
    <n v="2"/>
    <n v="2"/>
    <n v="7"/>
    <s v="High Risk"/>
  </r>
  <r>
    <x v="7"/>
    <x v="1"/>
    <s v="Logistics"/>
    <n v="1448939"/>
    <n v="14"/>
    <n v="91"/>
    <s v="Declining"/>
    <n v="3"/>
    <s v="Low"/>
    <s v="Medium"/>
    <s v="High"/>
    <s v="High"/>
    <s v="High"/>
    <n v="1"/>
    <n v="2"/>
    <n v="2"/>
    <n v="2"/>
    <n v="7"/>
    <s v="High Risk"/>
  </r>
  <r>
    <x v="8"/>
    <x v="1"/>
    <s v="Retail"/>
    <n v="147517"/>
    <n v="43"/>
    <n v="77"/>
    <s v="Declining"/>
    <n v="4"/>
    <s v="Low"/>
    <s v="High"/>
    <s v="Medium"/>
    <s v="High"/>
    <s v="High"/>
    <n v="2"/>
    <n v="1"/>
    <n v="2"/>
    <n v="2"/>
    <n v="7"/>
    <s v="High Risk"/>
  </r>
  <r>
    <x v="9"/>
    <x v="4"/>
    <s v="Retail"/>
    <n v="1354967"/>
    <n v="60"/>
    <n v="91"/>
    <s v="Declining"/>
    <n v="1"/>
    <s v="Low"/>
    <s v="High"/>
    <s v="High"/>
    <s v="High"/>
    <s v="Medium"/>
    <n v="2"/>
    <n v="2"/>
    <n v="2"/>
    <n v="1"/>
    <n v="7"/>
    <s v="High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" firstHeaderRow="1" firstDataRow="1" firstDataCol="1" rowPageCount="1" colPageCount="1"/>
  <pivotFields count="19">
    <pivotField dataField="1" showAll="0">
      <items count="301">
        <item x="10"/>
        <item x="92"/>
        <item x="45"/>
        <item x="275"/>
        <item x="93"/>
        <item x="11"/>
        <item x="12"/>
        <item x="13"/>
        <item x="167"/>
        <item x="94"/>
        <item x="46"/>
        <item x="3"/>
        <item x="95"/>
        <item x="230"/>
        <item x="231"/>
        <item x="96"/>
        <item x="168"/>
        <item x="232"/>
        <item x="14"/>
        <item x="293"/>
        <item x="169"/>
        <item x="15"/>
        <item x="16"/>
        <item x="97"/>
        <item x="170"/>
        <item x="17"/>
        <item x="233"/>
        <item x="18"/>
        <item x="234"/>
        <item x="171"/>
        <item x="19"/>
        <item x="98"/>
        <item x="99"/>
        <item x="172"/>
        <item x="4"/>
        <item x="173"/>
        <item x="100"/>
        <item x="235"/>
        <item x="101"/>
        <item x="276"/>
        <item x="236"/>
        <item x="174"/>
        <item x="175"/>
        <item x="237"/>
        <item x="176"/>
        <item x="177"/>
        <item x="102"/>
        <item x="178"/>
        <item x="20"/>
        <item x="103"/>
        <item x="104"/>
        <item x="47"/>
        <item x="179"/>
        <item x="105"/>
        <item x="238"/>
        <item x="180"/>
        <item x="277"/>
        <item x="106"/>
        <item x="48"/>
        <item x="294"/>
        <item x="107"/>
        <item x="108"/>
        <item x="181"/>
        <item x="21"/>
        <item x="182"/>
        <item x="278"/>
        <item x="109"/>
        <item x="183"/>
        <item x="279"/>
        <item x="49"/>
        <item x="280"/>
        <item x="239"/>
        <item x="50"/>
        <item x="110"/>
        <item x="184"/>
        <item x="111"/>
        <item x="22"/>
        <item x="185"/>
        <item x="51"/>
        <item x="240"/>
        <item x="52"/>
        <item x="186"/>
        <item x="241"/>
        <item x="187"/>
        <item x="23"/>
        <item x="112"/>
        <item x="188"/>
        <item x="189"/>
        <item x="242"/>
        <item x="190"/>
        <item x="113"/>
        <item x="281"/>
        <item x="53"/>
        <item x="24"/>
        <item x="295"/>
        <item x="114"/>
        <item x="243"/>
        <item x="54"/>
        <item x="282"/>
        <item x="25"/>
        <item x="115"/>
        <item x="191"/>
        <item x="296"/>
        <item x="26"/>
        <item x="116"/>
        <item x="192"/>
        <item x="27"/>
        <item x="244"/>
        <item x="117"/>
        <item x="245"/>
        <item x="28"/>
        <item x="246"/>
        <item x="118"/>
        <item x="247"/>
        <item x="5"/>
        <item x="55"/>
        <item x="283"/>
        <item x="0"/>
        <item x="193"/>
        <item x="56"/>
        <item x="29"/>
        <item x="57"/>
        <item x="248"/>
        <item x="194"/>
        <item x="119"/>
        <item x="249"/>
        <item x="120"/>
        <item x="250"/>
        <item x="58"/>
        <item x="251"/>
        <item x="30"/>
        <item x="121"/>
        <item x="122"/>
        <item x="123"/>
        <item x="124"/>
        <item x="59"/>
        <item x="125"/>
        <item x="195"/>
        <item x="196"/>
        <item x="126"/>
        <item x="252"/>
        <item x="284"/>
        <item x="60"/>
        <item x="61"/>
        <item x="197"/>
        <item x="6"/>
        <item x="253"/>
        <item x="198"/>
        <item x="31"/>
        <item x="199"/>
        <item x="127"/>
        <item x="32"/>
        <item x="128"/>
        <item x="129"/>
        <item x="62"/>
        <item x="254"/>
        <item x="200"/>
        <item x="255"/>
        <item x="130"/>
        <item x="131"/>
        <item x="63"/>
        <item x="7"/>
        <item x="201"/>
        <item x="132"/>
        <item x="202"/>
        <item x="33"/>
        <item x="133"/>
        <item x="297"/>
        <item x="134"/>
        <item x="203"/>
        <item x="298"/>
        <item x="64"/>
        <item x="204"/>
        <item x="65"/>
        <item x="34"/>
        <item x="66"/>
        <item x="135"/>
        <item x="67"/>
        <item x="136"/>
        <item x="137"/>
        <item x="138"/>
        <item x="68"/>
        <item x="35"/>
        <item x="256"/>
        <item x="205"/>
        <item x="69"/>
        <item x="139"/>
        <item x="70"/>
        <item x="140"/>
        <item x="141"/>
        <item x="8"/>
        <item x="142"/>
        <item x="257"/>
        <item x="71"/>
        <item x="143"/>
        <item x="299"/>
        <item x="258"/>
        <item x="206"/>
        <item x="36"/>
        <item x="144"/>
        <item x="285"/>
        <item x="259"/>
        <item x="260"/>
        <item x="207"/>
        <item x="72"/>
        <item x="208"/>
        <item x="37"/>
        <item x="286"/>
        <item x="145"/>
        <item x="146"/>
        <item x="38"/>
        <item x="73"/>
        <item x="74"/>
        <item x="147"/>
        <item x="75"/>
        <item x="148"/>
        <item x="209"/>
        <item x="287"/>
        <item x="210"/>
        <item x="76"/>
        <item x="77"/>
        <item x="149"/>
        <item x="211"/>
        <item x="78"/>
        <item x="150"/>
        <item x="288"/>
        <item x="212"/>
        <item x="151"/>
        <item x="213"/>
        <item x="152"/>
        <item x="214"/>
        <item x="79"/>
        <item x="215"/>
        <item x="261"/>
        <item x="216"/>
        <item x="39"/>
        <item x="40"/>
        <item x="217"/>
        <item x="153"/>
        <item x="154"/>
        <item x="80"/>
        <item x="262"/>
        <item x="263"/>
        <item x="155"/>
        <item x="156"/>
        <item x="218"/>
        <item x="81"/>
        <item x="264"/>
        <item x="82"/>
        <item x="157"/>
        <item x="158"/>
        <item x="265"/>
        <item x="219"/>
        <item x="1"/>
        <item x="159"/>
        <item x="220"/>
        <item x="289"/>
        <item x="83"/>
        <item x="290"/>
        <item x="266"/>
        <item x="221"/>
        <item x="291"/>
        <item x="222"/>
        <item x="223"/>
        <item x="292"/>
        <item x="2"/>
        <item x="84"/>
        <item x="85"/>
        <item x="267"/>
        <item x="268"/>
        <item x="224"/>
        <item x="160"/>
        <item x="41"/>
        <item x="42"/>
        <item x="269"/>
        <item x="270"/>
        <item x="86"/>
        <item x="87"/>
        <item x="225"/>
        <item x="88"/>
        <item x="161"/>
        <item x="162"/>
        <item x="43"/>
        <item x="226"/>
        <item x="163"/>
        <item x="9"/>
        <item x="164"/>
        <item x="271"/>
        <item x="89"/>
        <item x="90"/>
        <item x="272"/>
        <item x="227"/>
        <item x="273"/>
        <item x="44"/>
        <item x="91"/>
        <item x="228"/>
        <item x="229"/>
        <item x="274"/>
        <item x="165"/>
        <item x="166"/>
        <item t="default"/>
      </items>
    </pivotField>
    <pivotField axis="axisRow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x="2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W11:X17" firstHeaderRow="1" firstDataRow="1" firstDataCol="1"/>
  <pivotFields count="19">
    <pivotField dataField="1" showAll="0">
      <items count="11">
        <item x="3"/>
        <item x="4"/>
        <item x="5"/>
        <item x="0"/>
        <item x="6"/>
        <item x="7"/>
        <item x="8"/>
        <item x="1"/>
        <item x="2"/>
        <item x="9"/>
        <item t="default"/>
      </items>
    </pivotField>
    <pivotField axis="axisRow"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25" sqref="B25"/>
    </sheetView>
  </sheetViews>
  <sheetFormatPr defaultRowHeight="15" x14ac:dyDescent="0.25"/>
  <cols>
    <col min="1" max="1" width="15.28515625" customWidth="1"/>
    <col min="2" max="2" width="19.28515625" bestFit="1" customWidth="1"/>
  </cols>
  <sheetData>
    <row r="1" spans="1:2" x14ac:dyDescent="0.25">
      <c r="A1" s="3" t="s">
        <v>18</v>
      </c>
      <c r="B1" t="s">
        <v>345</v>
      </c>
    </row>
    <row r="3" spans="1:2" x14ac:dyDescent="0.25">
      <c r="A3" s="3" t="s">
        <v>49</v>
      </c>
      <c r="B3" t="s">
        <v>50</v>
      </c>
    </row>
    <row r="4" spans="1:2" x14ac:dyDescent="0.25">
      <c r="A4" s="4" t="s">
        <v>38</v>
      </c>
      <c r="B4" s="5">
        <v>62</v>
      </c>
    </row>
    <row r="5" spans="1:2" x14ac:dyDescent="0.25">
      <c r="A5" s="4" t="s">
        <v>48</v>
      </c>
      <c r="B5" s="5">
        <v>57</v>
      </c>
    </row>
    <row r="6" spans="1:2" x14ac:dyDescent="0.25">
      <c r="A6" s="4" t="s">
        <v>20</v>
      </c>
      <c r="B6" s="5">
        <v>68</v>
      </c>
    </row>
    <row r="7" spans="1:2" x14ac:dyDescent="0.25">
      <c r="A7" s="4" t="s">
        <v>41</v>
      </c>
      <c r="B7" s="5">
        <v>57</v>
      </c>
    </row>
    <row r="8" spans="1:2" x14ac:dyDescent="0.25">
      <c r="A8" s="4" t="s">
        <v>31</v>
      </c>
      <c r="B8" s="5">
        <v>56</v>
      </c>
    </row>
    <row r="9" spans="1:2" x14ac:dyDescent="0.25">
      <c r="A9" s="4" t="s">
        <v>59</v>
      </c>
      <c r="B9" s="5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1"/>
  <sheetViews>
    <sheetView tabSelected="1" topLeftCell="L1" workbookViewId="0">
      <selection activeCell="V11" sqref="V11"/>
    </sheetView>
  </sheetViews>
  <sheetFormatPr defaultRowHeight="15" x14ac:dyDescent="0.25"/>
  <cols>
    <col min="23" max="23" width="21.140625" customWidth="1"/>
    <col min="24" max="24" width="9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4" x14ac:dyDescent="0.25">
      <c r="A2" t="s">
        <v>19</v>
      </c>
      <c r="B2" t="s">
        <v>20</v>
      </c>
      <c r="C2" t="s">
        <v>21</v>
      </c>
      <c r="D2">
        <v>452622</v>
      </c>
      <c r="E2">
        <v>35</v>
      </c>
      <c r="F2">
        <v>95</v>
      </c>
      <c r="G2" t="s">
        <v>22</v>
      </c>
      <c r="H2">
        <v>3</v>
      </c>
      <c r="I2" t="s">
        <v>23</v>
      </c>
      <c r="J2" t="str">
        <f>IF(E2&gt;30,"High",IF(E2&gt;10,"Medium","Low"))</f>
        <v>High</v>
      </c>
      <c r="K2" t="str">
        <f>IF(F2&gt;90,"High",IF(F2&gt;75,"Medium","Low"))</f>
        <v>High</v>
      </c>
      <c r="L2" t="str">
        <f>IF(G2="Declining","High","Low")</f>
        <v>High</v>
      </c>
      <c r="M2" t="str">
        <f>IF(H2&gt;=3,"High",IF(H2=1,"Medium","Low"))</f>
        <v>High</v>
      </c>
      <c r="N2">
        <f>IF(J2="high",2,IF(J2="Medium",1,0))</f>
        <v>2</v>
      </c>
      <c r="O2">
        <f>IF(K2="high",2,IF(K2="medium",1,0))</f>
        <v>2</v>
      </c>
      <c r="P2">
        <f>IF(L2="high",2,0)</f>
        <v>2</v>
      </c>
      <c r="Q2">
        <f>IF(M2="high",2,IF(M2="medium",1,0))</f>
        <v>2</v>
      </c>
      <c r="R2">
        <f>SUM(N2:Q2)</f>
        <v>8</v>
      </c>
      <c r="S2" t="str">
        <f>IF(R2&gt;=5,"High Risk",IF(R2&gt;=3, "Medium Risk", "Low Risk"))</f>
        <v>High Risk</v>
      </c>
      <c r="W2" s="2" t="s">
        <v>25</v>
      </c>
      <c r="X2" s="2" t="s">
        <v>26</v>
      </c>
    </row>
    <row r="3" spans="1:24" x14ac:dyDescent="0.25">
      <c r="A3" t="s">
        <v>27</v>
      </c>
      <c r="B3" t="s">
        <v>20</v>
      </c>
      <c r="C3" t="s">
        <v>28</v>
      </c>
      <c r="D3">
        <v>696874</v>
      </c>
      <c r="E3">
        <v>57</v>
      </c>
      <c r="F3">
        <v>96</v>
      </c>
      <c r="G3" t="s">
        <v>22</v>
      </c>
      <c r="H3">
        <v>4</v>
      </c>
      <c r="I3" t="s">
        <v>24</v>
      </c>
      <c r="J3" t="str">
        <f>IF(E3&gt;30,"High",IF(E3&gt;10,"Medium","Low"))</f>
        <v>High</v>
      </c>
      <c r="K3" t="str">
        <f>IF(F3&gt;90,"High",IF(F3&gt;75,"Medium","Low"))</f>
        <v>High</v>
      </c>
      <c r="L3" t="str">
        <f>IF(G3="Declining","High","Low")</f>
        <v>High</v>
      </c>
      <c r="M3" t="str">
        <f>IF(H3&gt;=3,"High",IF(H3=1,"Medium","Low"))</f>
        <v>High</v>
      </c>
      <c r="N3">
        <f>IF(J3="high",2,IF(J3="Medium",1,0))</f>
        <v>2</v>
      </c>
      <c r="O3">
        <f>IF(K3="high",2,IF(K3="medium",1,0))</f>
        <v>2</v>
      </c>
      <c r="P3">
        <f>IF(L3="high",2,0)</f>
        <v>2</v>
      </c>
      <c r="Q3">
        <f>IF(M3="high",2,IF(M3="medium",1,0))</f>
        <v>2</v>
      </c>
      <c r="R3">
        <f>SUM(N3:Q3)</f>
        <v>8</v>
      </c>
      <c r="S3" t="str">
        <f>IF(R3&gt;=5,"High Risk",IF(R3&gt;=3, "Medium Risk", "Low Risk"))</f>
        <v>High Risk</v>
      </c>
      <c r="W3" s="1" t="s">
        <v>29</v>
      </c>
      <c r="X3" s="1">
        <f>COUNTA(A:A)-1</f>
        <v>300</v>
      </c>
    </row>
    <row r="4" spans="1:24" x14ac:dyDescent="0.25">
      <c r="A4" t="s">
        <v>30</v>
      </c>
      <c r="B4" t="s">
        <v>31</v>
      </c>
      <c r="C4" t="s">
        <v>21</v>
      </c>
      <c r="D4">
        <v>814655</v>
      </c>
      <c r="E4">
        <v>37</v>
      </c>
      <c r="F4">
        <v>96</v>
      </c>
      <c r="G4" t="s">
        <v>22</v>
      </c>
      <c r="H4">
        <v>3</v>
      </c>
      <c r="I4" t="s">
        <v>23</v>
      </c>
      <c r="J4" t="str">
        <f>IF(E4&gt;30,"High",IF(E4&gt;10,"Medium","Low"))</f>
        <v>High</v>
      </c>
      <c r="K4" t="str">
        <f>IF(F4&gt;90,"High",IF(F4&gt;75,"Medium","Low"))</f>
        <v>High</v>
      </c>
      <c r="L4" t="str">
        <f>IF(G4="Declining","High","Low")</f>
        <v>High</v>
      </c>
      <c r="M4" t="str">
        <f>IF(H4&gt;=3,"High",IF(H4=1,"Medium","Low"))</f>
        <v>High</v>
      </c>
      <c r="N4">
        <f>IF(J4="high",2,IF(J4="Medium",1,0))</f>
        <v>2</v>
      </c>
      <c r="O4">
        <f>IF(K4="high",2,IF(K4="medium",1,0))</f>
        <v>2</v>
      </c>
      <c r="P4">
        <f>IF(L4="high",2,0)</f>
        <v>2</v>
      </c>
      <c r="Q4">
        <f>IF(M4="high",2,IF(M4="medium",1,0))</f>
        <v>2</v>
      </c>
      <c r="R4">
        <f>SUM(N4:Q4)</f>
        <v>8</v>
      </c>
      <c r="S4" t="str">
        <f>IF(R4&gt;=5,"High Risk",IF(R4&gt;=3, "Medium Risk", "Low Risk"))</f>
        <v>High Risk</v>
      </c>
      <c r="W4" s="1" t="s">
        <v>32</v>
      </c>
      <c r="X4" s="1">
        <f>COUNTIF(S:S,"High Risk")</f>
        <v>92</v>
      </c>
    </row>
    <row r="5" spans="1:24" x14ac:dyDescent="0.25">
      <c r="A5" t="s">
        <v>33</v>
      </c>
      <c r="B5" t="s">
        <v>20</v>
      </c>
      <c r="C5" t="s">
        <v>34</v>
      </c>
      <c r="D5">
        <v>226292</v>
      </c>
      <c r="E5">
        <v>46</v>
      </c>
      <c r="F5">
        <v>87</v>
      </c>
      <c r="G5" t="s">
        <v>22</v>
      </c>
      <c r="H5">
        <v>4</v>
      </c>
      <c r="I5" t="s">
        <v>23</v>
      </c>
      <c r="J5" t="str">
        <f>IF(E5&gt;30,"High",IF(E5&gt;10,"Medium","Low"))</f>
        <v>High</v>
      </c>
      <c r="K5" t="str">
        <f>IF(F5&gt;90,"High",IF(F5&gt;75,"Medium","Low"))</f>
        <v>Medium</v>
      </c>
      <c r="L5" t="str">
        <f>IF(G5="Declining","High","Low")</f>
        <v>High</v>
      </c>
      <c r="M5" t="str">
        <f>IF(H5&gt;=3,"High",IF(H5=1,"Medium","Low"))</f>
        <v>High</v>
      </c>
      <c r="N5">
        <f>IF(J5="high",2,IF(J5="Medium",1,0))</f>
        <v>2</v>
      </c>
      <c r="O5">
        <f>IF(K5="high",2,IF(K5="medium",1,0))</f>
        <v>1</v>
      </c>
      <c r="P5">
        <f>IF(L5="high",2,0)</f>
        <v>2</v>
      </c>
      <c r="Q5">
        <f>IF(M5="high",2,IF(M5="medium",1,0))</f>
        <v>2</v>
      </c>
      <c r="R5">
        <f>SUM(N5:Q5)</f>
        <v>7</v>
      </c>
      <c r="S5" t="str">
        <f>IF(R5&gt;=5,"High Risk",IF(R5&gt;=3, "Medium Risk", "Low Risk"))</f>
        <v>High Risk</v>
      </c>
      <c r="W5" s="1" t="s">
        <v>36</v>
      </c>
      <c r="X5" s="1">
        <f>COUNTIF(S:S,"Medium Risk")</f>
        <v>138</v>
      </c>
    </row>
    <row r="6" spans="1:24" x14ac:dyDescent="0.25">
      <c r="A6" t="s">
        <v>37</v>
      </c>
      <c r="B6" t="s">
        <v>38</v>
      </c>
      <c r="C6" t="s">
        <v>34</v>
      </c>
      <c r="D6">
        <v>229463</v>
      </c>
      <c r="E6">
        <v>57</v>
      </c>
      <c r="F6">
        <v>77</v>
      </c>
      <c r="G6" t="s">
        <v>22</v>
      </c>
      <c r="H6">
        <v>3</v>
      </c>
      <c r="I6" t="s">
        <v>35</v>
      </c>
      <c r="J6" t="str">
        <f>IF(E6&gt;30,"High",IF(E6&gt;10,"Medium","Low"))</f>
        <v>High</v>
      </c>
      <c r="K6" t="str">
        <f>IF(F6&gt;90,"High",IF(F6&gt;75,"Medium","Low"))</f>
        <v>Medium</v>
      </c>
      <c r="L6" t="str">
        <f>IF(G6="Declining","High","Low")</f>
        <v>High</v>
      </c>
      <c r="M6" t="str">
        <f>IF(H6&gt;=3,"High",IF(H6=1,"Medium","Low"))</f>
        <v>High</v>
      </c>
      <c r="N6">
        <f>IF(J6="high",2,IF(J6="Medium",1,0))</f>
        <v>2</v>
      </c>
      <c r="O6">
        <f>IF(K6="high",2,IF(K6="medium",1,0))</f>
        <v>1</v>
      </c>
      <c r="P6">
        <f>IF(L6="high",2,0)</f>
        <v>2</v>
      </c>
      <c r="Q6">
        <f>IF(M6="high",2,IF(M6="medium",1,0))</f>
        <v>2</v>
      </c>
      <c r="R6">
        <f>SUM(N6:Q6)</f>
        <v>7</v>
      </c>
      <c r="S6" t="str">
        <f>IF(R6&gt;=5,"High Risk",IF(R6&gt;=3, "Medium Risk", "Low Risk"))</f>
        <v>High Risk</v>
      </c>
      <c r="W6" s="1" t="s">
        <v>39</v>
      </c>
      <c r="X6" s="1">
        <f>COUNTIF(S:S,"Low Risk")</f>
        <v>70</v>
      </c>
    </row>
    <row r="7" spans="1:24" x14ac:dyDescent="0.25">
      <c r="A7" t="s">
        <v>40</v>
      </c>
      <c r="B7" t="s">
        <v>41</v>
      </c>
      <c r="C7" t="s">
        <v>42</v>
      </c>
      <c r="D7">
        <v>115627</v>
      </c>
      <c r="E7">
        <v>54</v>
      </c>
      <c r="F7">
        <v>88</v>
      </c>
      <c r="G7" t="s">
        <v>22</v>
      </c>
      <c r="H7">
        <v>3</v>
      </c>
      <c r="I7" t="s">
        <v>24</v>
      </c>
      <c r="J7" t="str">
        <f>IF(E7&gt;30,"High",IF(E7&gt;10,"Medium","Low"))</f>
        <v>High</v>
      </c>
      <c r="K7" t="str">
        <f>IF(F7&gt;90,"High",IF(F7&gt;75,"Medium","Low"))</f>
        <v>Medium</v>
      </c>
      <c r="L7" t="str">
        <f>IF(G7="Declining","High","Low")</f>
        <v>High</v>
      </c>
      <c r="M7" t="str">
        <f>IF(H7&gt;=3,"High",IF(H7=1,"Medium","Low"))</f>
        <v>High</v>
      </c>
      <c r="N7">
        <f>IF(J7="high",2,IF(J7="Medium",1,0))</f>
        <v>2</v>
      </c>
      <c r="O7">
        <f>IF(K7="high",2,IF(K7="medium",1,0))</f>
        <v>1</v>
      </c>
      <c r="P7">
        <f>IF(L7="high",2,0)</f>
        <v>2</v>
      </c>
      <c r="Q7">
        <f>IF(M7="high",2,IF(M7="medium",1,0))</f>
        <v>2</v>
      </c>
      <c r="R7">
        <f>SUM(N7:Q7)</f>
        <v>7</v>
      </c>
      <c r="S7" t="str">
        <f>IF(R7&gt;=5,"High Risk",IF(R7&gt;=3, "Medium Risk", "Low Risk"))</f>
        <v>High Risk</v>
      </c>
      <c r="W7" s="1"/>
      <c r="X7" s="1"/>
    </row>
    <row r="8" spans="1:24" x14ac:dyDescent="0.25">
      <c r="A8" t="s">
        <v>43</v>
      </c>
      <c r="B8" t="s">
        <v>31</v>
      </c>
      <c r="C8" t="s">
        <v>28</v>
      </c>
      <c r="D8">
        <v>1013861</v>
      </c>
      <c r="E8">
        <v>14</v>
      </c>
      <c r="F8">
        <v>91</v>
      </c>
      <c r="G8" t="s">
        <v>22</v>
      </c>
      <c r="H8">
        <v>4</v>
      </c>
      <c r="I8" t="s">
        <v>35</v>
      </c>
      <c r="J8" t="str">
        <f>IF(E8&gt;30,"High",IF(E8&gt;10,"Medium","Low"))</f>
        <v>Medium</v>
      </c>
      <c r="K8" t="str">
        <f>IF(F8&gt;90,"High",IF(F8&gt;75,"Medium","Low"))</f>
        <v>High</v>
      </c>
      <c r="L8" t="str">
        <f>IF(G8="Declining","High","Low")</f>
        <v>High</v>
      </c>
      <c r="M8" t="str">
        <f>IF(H8&gt;=3,"High",IF(H8=1,"Medium","Low"))</f>
        <v>High</v>
      </c>
      <c r="N8">
        <f>IF(J8="high",2,IF(J8="Medium",1,0))</f>
        <v>1</v>
      </c>
      <c r="O8">
        <f>IF(K8="high",2,IF(K8="medium",1,0))</f>
        <v>2</v>
      </c>
      <c r="P8">
        <f>IF(L8="high",2,0)</f>
        <v>2</v>
      </c>
      <c r="Q8">
        <f>IF(M8="high",2,IF(M8="medium",1,0))</f>
        <v>2</v>
      </c>
      <c r="R8">
        <f>SUM(N8:Q8)</f>
        <v>7</v>
      </c>
      <c r="S8" t="str">
        <f>IF(R8&gt;=5,"High Risk",IF(R8&gt;=3, "Medium Risk", "Low Risk"))</f>
        <v>High Risk</v>
      </c>
      <c r="W8" s="1" t="s">
        <v>44</v>
      </c>
      <c r="X8" s="1">
        <f>SUMIF(S:S,"High Risk",D:D)</f>
        <v>70072176</v>
      </c>
    </row>
    <row r="9" spans="1:24" x14ac:dyDescent="0.25">
      <c r="A9" t="s">
        <v>45</v>
      </c>
      <c r="B9" t="s">
        <v>31</v>
      </c>
      <c r="C9" t="s">
        <v>21</v>
      </c>
      <c r="D9">
        <v>1448939</v>
      </c>
      <c r="E9">
        <v>14</v>
      </c>
      <c r="F9">
        <v>91</v>
      </c>
      <c r="G9" t="s">
        <v>22</v>
      </c>
      <c r="H9">
        <v>3</v>
      </c>
      <c r="I9" t="s">
        <v>23</v>
      </c>
      <c r="J9" t="str">
        <f>IF(E9&gt;30,"High",IF(E9&gt;10,"Medium","Low"))</f>
        <v>Medium</v>
      </c>
      <c r="K9" t="str">
        <f>IF(F9&gt;90,"High",IF(F9&gt;75,"Medium","Low"))</f>
        <v>High</v>
      </c>
      <c r="L9" t="str">
        <f>IF(G9="Declining","High","Low")</f>
        <v>High</v>
      </c>
      <c r="M9" t="str">
        <f>IF(H9&gt;=3,"High",IF(H9=1,"Medium","Low"))</f>
        <v>High</v>
      </c>
      <c r="N9">
        <f>IF(J9="high",2,IF(J9="Medium",1,0))</f>
        <v>1</v>
      </c>
      <c r="O9">
        <f>IF(K9="high",2,IF(K9="medium",1,0))</f>
        <v>2</v>
      </c>
      <c r="P9">
        <f>IF(L9="high",2,0)</f>
        <v>2</v>
      </c>
      <c r="Q9">
        <f>IF(M9="high",2,IF(M9="medium",1,0))</f>
        <v>2</v>
      </c>
      <c r="R9">
        <f>SUM(N9:Q9)</f>
        <v>7</v>
      </c>
      <c r="S9" t="str">
        <f>IF(R9&gt;=5,"High Risk",IF(R9&gt;=3, "Medium Risk", "Low Risk"))</f>
        <v>High Risk</v>
      </c>
    </row>
    <row r="10" spans="1:24" x14ac:dyDescent="0.25">
      <c r="A10" t="s">
        <v>46</v>
      </c>
      <c r="B10" t="s">
        <v>31</v>
      </c>
      <c r="C10" t="s">
        <v>42</v>
      </c>
      <c r="D10">
        <v>147517</v>
      </c>
      <c r="E10">
        <v>43</v>
      </c>
      <c r="F10">
        <v>77</v>
      </c>
      <c r="G10" t="s">
        <v>22</v>
      </c>
      <c r="H10">
        <v>4</v>
      </c>
      <c r="I10" t="s">
        <v>23</v>
      </c>
      <c r="J10" t="str">
        <f>IF(E10&gt;30,"High",IF(E10&gt;10,"Medium","Low"))</f>
        <v>High</v>
      </c>
      <c r="K10" t="str">
        <f>IF(F10&gt;90,"High",IF(F10&gt;75,"Medium","Low"))</f>
        <v>Medium</v>
      </c>
      <c r="L10" t="str">
        <f>IF(G10="Declining","High","Low")</f>
        <v>High</v>
      </c>
      <c r="M10" t="str">
        <f>IF(H10&gt;=3,"High",IF(H10=1,"Medium","Low"))</f>
        <v>High</v>
      </c>
      <c r="N10">
        <f>IF(J10="high",2,IF(J10="Medium",1,0))</f>
        <v>2</v>
      </c>
      <c r="O10">
        <f>IF(K10="high",2,IF(K10="medium",1,0))</f>
        <v>1</v>
      </c>
      <c r="P10">
        <f>IF(L10="high",2,0)</f>
        <v>2</v>
      </c>
      <c r="Q10">
        <f>IF(M10="high",2,IF(M10="medium",1,0))</f>
        <v>2</v>
      </c>
      <c r="R10">
        <f>SUM(N10:Q10)</f>
        <v>7</v>
      </c>
      <c r="S10" t="str">
        <f>IF(R10&gt;=5,"High Risk",IF(R10&gt;=3, "Medium Risk", "Low Risk"))</f>
        <v>High Risk</v>
      </c>
    </row>
    <row r="11" spans="1:24" x14ac:dyDescent="0.25">
      <c r="A11" t="s">
        <v>47</v>
      </c>
      <c r="B11" t="s">
        <v>48</v>
      </c>
      <c r="C11" t="s">
        <v>42</v>
      </c>
      <c r="D11">
        <v>1354967</v>
      </c>
      <c r="E11">
        <v>60</v>
      </c>
      <c r="F11">
        <v>91</v>
      </c>
      <c r="G11" t="s">
        <v>22</v>
      </c>
      <c r="H11">
        <v>1</v>
      </c>
      <c r="I11" t="s">
        <v>23</v>
      </c>
      <c r="J11" t="str">
        <f>IF(E11&gt;30,"High",IF(E11&gt;10,"Medium","Low"))</f>
        <v>High</v>
      </c>
      <c r="K11" t="str">
        <f>IF(F11&gt;90,"High",IF(F11&gt;75,"Medium","Low"))</f>
        <v>High</v>
      </c>
      <c r="L11" t="str">
        <f>IF(G11="Declining","High","Low")</f>
        <v>High</v>
      </c>
      <c r="M11" t="str">
        <f>IF(H11&gt;=3,"High",IF(H11=1,"Medium","Low"))</f>
        <v>Medium</v>
      </c>
      <c r="N11">
        <f>IF(J11="high",2,IF(J11="Medium",1,0))</f>
        <v>2</v>
      </c>
      <c r="O11">
        <f>IF(K11="high",2,IF(K11="medium",1,0))</f>
        <v>2</v>
      </c>
      <c r="P11">
        <f>IF(L11="high",2,0)</f>
        <v>2</v>
      </c>
      <c r="Q11">
        <f>IF(M11="high",2,IF(M11="medium",1,0))</f>
        <v>1</v>
      </c>
      <c r="R11">
        <f>SUM(N11:Q11)</f>
        <v>7</v>
      </c>
      <c r="S11" t="str">
        <f>IF(R11&gt;=5,"High Risk",IF(R11&gt;=3, "Medium Risk", "Low Risk"))</f>
        <v>High Risk</v>
      </c>
      <c r="W11" s="3" t="s">
        <v>49</v>
      </c>
      <c r="X11" t="s">
        <v>50</v>
      </c>
    </row>
    <row r="12" spans="1:24" x14ac:dyDescent="0.25">
      <c r="A12" t="s">
        <v>51</v>
      </c>
      <c r="B12" t="s">
        <v>38</v>
      </c>
      <c r="C12" t="s">
        <v>42</v>
      </c>
      <c r="D12">
        <v>1479670</v>
      </c>
      <c r="E12">
        <v>58</v>
      </c>
      <c r="F12">
        <v>99</v>
      </c>
      <c r="G12" t="s">
        <v>22</v>
      </c>
      <c r="H12">
        <v>0</v>
      </c>
      <c r="I12" t="s">
        <v>24</v>
      </c>
      <c r="J12" t="str">
        <f>IF(E12&gt;30,"High",IF(E12&gt;10,"Medium","Low"))</f>
        <v>High</v>
      </c>
      <c r="K12" t="str">
        <f>IF(F12&gt;90,"High",IF(F12&gt;75,"Medium","Low"))</f>
        <v>High</v>
      </c>
      <c r="L12" t="str">
        <f>IF(G12="Declining","High","Low")</f>
        <v>High</v>
      </c>
      <c r="M12" t="str">
        <f>IF(H12&gt;=3,"High",IF(H12=1,"Medium","Low"))</f>
        <v>Low</v>
      </c>
      <c r="N12">
        <f>IF(J12="high",2,IF(J12="Medium",1,0))</f>
        <v>2</v>
      </c>
      <c r="O12">
        <f>IF(K12="high",2,IF(K12="medium",1,0))</f>
        <v>2</v>
      </c>
      <c r="P12">
        <f>IF(L12="high",2,0)</f>
        <v>2</v>
      </c>
      <c r="Q12">
        <f>IF(M12="high",2,IF(M12="medium",1,0))</f>
        <v>0</v>
      </c>
      <c r="R12">
        <f>SUM(N12:Q12)</f>
        <v>6</v>
      </c>
      <c r="S12" t="str">
        <f>IF(R12&gt;=5,"High Risk",IF(R12&gt;=3, "Medium Risk", "Low Risk"))</f>
        <v>High Risk</v>
      </c>
      <c r="W12" s="4" t="s">
        <v>38</v>
      </c>
      <c r="X12" s="5">
        <v>1</v>
      </c>
    </row>
    <row r="13" spans="1:24" x14ac:dyDescent="0.25">
      <c r="A13" t="s">
        <v>52</v>
      </c>
      <c r="B13" t="s">
        <v>41</v>
      </c>
      <c r="C13" t="s">
        <v>28</v>
      </c>
      <c r="D13">
        <v>917221</v>
      </c>
      <c r="E13">
        <v>43</v>
      </c>
      <c r="F13">
        <v>59</v>
      </c>
      <c r="G13" t="s">
        <v>22</v>
      </c>
      <c r="H13">
        <v>3</v>
      </c>
      <c r="I13" t="s">
        <v>23</v>
      </c>
      <c r="J13" t="str">
        <f>IF(E13&gt;30,"High",IF(E13&gt;10,"Medium","Low"))</f>
        <v>High</v>
      </c>
      <c r="K13" t="str">
        <f>IF(F13&gt;90,"High",IF(F13&gt;75,"Medium","Low"))</f>
        <v>Low</v>
      </c>
      <c r="L13" t="str">
        <f>IF(G13="Declining","High","Low")</f>
        <v>High</v>
      </c>
      <c r="M13" t="str">
        <f>IF(H13&gt;=3,"High",IF(H13=1,"Medium","Low"))</f>
        <v>High</v>
      </c>
      <c r="N13">
        <f>IF(J13="high",2,IF(J13="Medium",1,0))</f>
        <v>2</v>
      </c>
      <c r="O13">
        <f>IF(K13="high",2,IF(K13="medium",1,0))</f>
        <v>0</v>
      </c>
      <c r="P13">
        <f>IF(L13="high",2,0)</f>
        <v>2</v>
      </c>
      <c r="Q13">
        <f>IF(M13="high",2,IF(M13="medium",1,0))</f>
        <v>2</v>
      </c>
      <c r="R13">
        <f>SUM(N13:Q13)</f>
        <v>6</v>
      </c>
      <c r="S13" t="str">
        <f>IF(R13&gt;=5,"High Risk",IF(R13&gt;=3, "Medium Risk", "Low Risk"))</f>
        <v>High Risk</v>
      </c>
      <c r="W13" s="4" t="s">
        <v>48</v>
      </c>
      <c r="X13" s="5">
        <v>1</v>
      </c>
    </row>
    <row r="14" spans="1:24" x14ac:dyDescent="0.25">
      <c r="A14" t="s">
        <v>53</v>
      </c>
      <c r="B14" t="s">
        <v>41</v>
      </c>
      <c r="C14" t="s">
        <v>54</v>
      </c>
      <c r="D14">
        <v>178056</v>
      </c>
      <c r="E14">
        <v>43</v>
      </c>
      <c r="F14">
        <v>57</v>
      </c>
      <c r="G14" t="s">
        <v>22</v>
      </c>
      <c r="H14">
        <v>4</v>
      </c>
      <c r="I14" t="s">
        <v>24</v>
      </c>
      <c r="J14" t="str">
        <f>IF(E14&gt;30,"High",IF(E14&gt;10,"Medium","Low"))</f>
        <v>High</v>
      </c>
      <c r="K14" t="str">
        <f>IF(F14&gt;90,"High",IF(F14&gt;75,"Medium","Low"))</f>
        <v>Low</v>
      </c>
      <c r="L14" t="str">
        <f>IF(G14="Declining","High","Low")</f>
        <v>High</v>
      </c>
      <c r="M14" t="str">
        <f>IF(H14&gt;=3,"High",IF(H14=1,"Medium","Low"))</f>
        <v>High</v>
      </c>
      <c r="N14">
        <f>IF(J14="high",2,IF(J14="Medium",1,0))</f>
        <v>2</v>
      </c>
      <c r="O14">
        <f>IF(K14="high",2,IF(K14="medium",1,0))</f>
        <v>0</v>
      </c>
      <c r="P14">
        <f>IF(L14="high",2,0)</f>
        <v>2</v>
      </c>
      <c r="Q14">
        <f>IF(M14="high",2,IF(M14="medium",1,0))</f>
        <v>2</v>
      </c>
      <c r="R14">
        <f>SUM(N14:Q14)</f>
        <v>6</v>
      </c>
      <c r="S14" t="str">
        <f>IF(R14&gt;=5,"High Risk",IF(R14&gt;=3, "Medium Risk", "Low Risk"))</f>
        <v>High Risk</v>
      </c>
      <c r="W14" s="4" t="s">
        <v>20</v>
      </c>
      <c r="X14" s="5">
        <v>3</v>
      </c>
    </row>
    <row r="15" spans="1:24" x14ac:dyDescent="0.25">
      <c r="A15" t="s">
        <v>55</v>
      </c>
      <c r="B15" t="s">
        <v>48</v>
      </c>
      <c r="C15" t="s">
        <v>54</v>
      </c>
      <c r="D15">
        <v>102395</v>
      </c>
      <c r="E15">
        <v>46</v>
      </c>
      <c r="F15">
        <v>92</v>
      </c>
      <c r="G15" t="s">
        <v>56</v>
      </c>
      <c r="H15">
        <v>4</v>
      </c>
      <c r="I15" t="s">
        <v>23</v>
      </c>
      <c r="J15" t="str">
        <f>IF(E15&gt;30,"High",IF(E15&gt;10,"Medium","Low"))</f>
        <v>High</v>
      </c>
      <c r="K15" t="str">
        <f>IF(F15&gt;90,"High",IF(F15&gt;75,"Medium","Low"))</f>
        <v>High</v>
      </c>
      <c r="L15" t="str">
        <f>IF(G15="Declining","High","Low")</f>
        <v>Low</v>
      </c>
      <c r="M15" t="str">
        <f>IF(H15&gt;=3,"High",IF(H15=1,"Medium","Low"))</f>
        <v>High</v>
      </c>
      <c r="N15">
        <f>IF(J15="high",2,IF(J15="Medium",1,0))</f>
        <v>2</v>
      </c>
      <c r="O15">
        <f>IF(K15="high",2,IF(K15="medium",1,0))</f>
        <v>2</v>
      </c>
      <c r="P15">
        <f>IF(L15="high",2,0)</f>
        <v>0</v>
      </c>
      <c r="Q15">
        <f>IF(M15="high",2,IF(M15="medium",1,0))</f>
        <v>2</v>
      </c>
      <c r="R15">
        <f>SUM(N15:Q15)</f>
        <v>6</v>
      </c>
      <c r="S15" t="str">
        <f>IF(R15&gt;=5,"High Risk",IF(R15&gt;=3, "Medium Risk", "Low Risk"))</f>
        <v>High Risk</v>
      </c>
      <c r="W15" s="4" t="s">
        <v>41</v>
      </c>
      <c r="X15" s="5">
        <v>1</v>
      </c>
    </row>
    <row r="16" spans="1:24" x14ac:dyDescent="0.25">
      <c r="A16" t="s">
        <v>57</v>
      </c>
      <c r="B16" t="s">
        <v>41</v>
      </c>
      <c r="C16" t="s">
        <v>28</v>
      </c>
      <c r="D16">
        <v>1405987</v>
      </c>
      <c r="E16">
        <v>36</v>
      </c>
      <c r="F16">
        <v>70</v>
      </c>
      <c r="G16" t="s">
        <v>22</v>
      </c>
      <c r="H16">
        <v>3</v>
      </c>
      <c r="I16" t="s">
        <v>35</v>
      </c>
      <c r="J16" t="str">
        <f>IF(E16&gt;30,"High",IF(E16&gt;10,"Medium","Low"))</f>
        <v>High</v>
      </c>
      <c r="K16" t="str">
        <f>IF(F16&gt;90,"High",IF(F16&gt;75,"Medium","Low"))</f>
        <v>Low</v>
      </c>
      <c r="L16" t="str">
        <f>IF(G16="Declining","High","Low")</f>
        <v>High</v>
      </c>
      <c r="M16" t="str">
        <f>IF(H16&gt;=3,"High",IF(H16=1,"Medium","Low"))</f>
        <v>High</v>
      </c>
      <c r="N16">
        <f>IF(J16="high",2,IF(J16="Medium",1,0))</f>
        <v>2</v>
      </c>
      <c r="O16">
        <f>IF(K16="high",2,IF(K16="medium",1,0))</f>
        <v>0</v>
      </c>
      <c r="P16">
        <f>IF(L16="high",2,0)</f>
        <v>2</v>
      </c>
      <c r="Q16">
        <f>IF(M16="high",2,IF(M16="medium",1,0))</f>
        <v>2</v>
      </c>
      <c r="R16">
        <f>SUM(N16:Q16)</f>
        <v>6</v>
      </c>
      <c r="S16" t="str">
        <f>IF(R16&gt;=5,"High Risk",IF(R16&gt;=3, "Medium Risk", "Low Risk"))</f>
        <v>High Risk</v>
      </c>
      <c r="W16" s="4" t="s">
        <v>31</v>
      </c>
      <c r="X16" s="5">
        <v>4</v>
      </c>
    </row>
    <row r="17" spans="1:24" x14ac:dyDescent="0.25">
      <c r="A17" t="s">
        <v>58</v>
      </c>
      <c r="B17" t="s">
        <v>20</v>
      </c>
      <c r="C17" t="s">
        <v>54</v>
      </c>
      <c r="D17">
        <v>403715</v>
      </c>
      <c r="E17">
        <v>33</v>
      </c>
      <c r="F17">
        <v>68</v>
      </c>
      <c r="G17" t="s">
        <v>22</v>
      </c>
      <c r="H17">
        <v>3</v>
      </c>
      <c r="I17" t="s">
        <v>35</v>
      </c>
      <c r="J17" t="str">
        <f>IF(E17&gt;30,"High",IF(E17&gt;10,"Medium","Low"))</f>
        <v>High</v>
      </c>
      <c r="K17" t="str">
        <f>IF(F17&gt;90,"High",IF(F17&gt;75,"Medium","Low"))</f>
        <v>Low</v>
      </c>
      <c r="L17" t="str">
        <f>IF(G17="Declining","High","Low")</f>
        <v>High</v>
      </c>
      <c r="M17" t="str">
        <f>IF(H17&gt;=3,"High",IF(H17=1,"Medium","Low"))</f>
        <v>High</v>
      </c>
      <c r="N17">
        <f>IF(J17="high",2,IF(J17="Medium",1,0))</f>
        <v>2</v>
      </c>
      <c r="O17">
        <f>IF(K17="high",2,IF(K17="medium",1,0))</f>
        <v>0</v>
      </c>
      <c r="P17">
        <f>IF(L17="high",2,0)</f>
        <v>2</v>
      </c>
      <c r="Q17">
        <f>IF(M17="high",2,IF(M17="medium",1,0))</f>
        <v>2</v>
      </c>
      <c r="R17">
        <f>SUM(N17:Q17)</f>
        <v>6</v>
      </c>
      <c r="S17" t="str">
        <f>IF(R17&gt;=5,"High Risk",IF(R17&gt;=3, "Medium Risk", "Low Risk"))</f>
        <v>High Risk</v>
      </c>
      <c r="W17" s="4" t="s">
        <v>59</v>
      </c>
      <c r="X17" s="5">
        <v>10</v>
      </c>
    </row>
    <row r="18" spans="1:24" x14ac:dyDescent="0.25">
      <c r="A18" t="s">
        <v>60</v>
      </c>
      <c r="B18" t="s">
        <v>41</v>
      </c>
      <c r="C18" t="s">
        <v>54</v>
      </c>
      <c r="D18">
        <v>976138</v>
      </c>
      <c r="E18">
        <v>36</v>
      </c>
      <c r="F18">
        <v>72</v>
      </c>
      <c r="G18" t="s">
        <v>22</v>
      </c>
      <c r="H18">
        <v>3</v>
      </c>
      <c r="I18" t="s">
        <v>35</v>
      </c>
      <c r="J18" t="str">
        <f>IF(E18&gt;30,"High",IF(E18&gt;10,"Medium","Low"))</f>
        <v>High</v>
      </c>
      <c r="K18" t="str">
        <f>IF(F18&gt;90,"High",IF(F18&gt;75,"Medium","Low"))</f>
        <v>Low</v>
      </c>
      <c r="L18" t="str">
        <f>IF(G18="Declining","High","Low")</f>
        <v>High</v>
      </c>
      <c r="M18" t="str">
        <f>IF(H18&gt;=3,"High",IF(H18=1,"Medium","Low"))</f>
        <v>High</v>
      </c>
      <c r="N18">
        <f>IF(J18="high",2,IF(J18="Medium",1,0))</f>
        <v>2</v>
      </c>
      <c r="O18">
        <f>IF(K18="high",2,IF(K18="medium",1,0))</f>
        <v>0</v>
      </c>
      <c r="P18">
        <f>IF(L18="high",2,0)</f>
        <v>2</v>
      </c>
      <c r="Q18">
        <f>IF(M18="high",2,IF(M18="medium",1,0))</f>
        <v>2</v>
      </c>
      <c r="R18">
        <f>SUM(N18:Q18)</f>
        <v>6</v>
      </c>
      <c r="S18" t="str">
        <f>IF(R18&gt;=5,"High Risk",IF(R18&gt;=3, "Medium Risk", "Low Risk"))</f>
        <v>High Risk</v>
      </c>
    </row>
    <row r="19" spans="1:24" x14ac:dyDescent="0.25">
      <c r="A19" t="s">
        <v>61</v>
      </c>
      <c r="B19" t="s">
        <v>31</v>
      </c>
      <c r="C19" t="s">
        <v>42</v>
      </c>
      <c r="D19">
        <v>1246440</v>
      </c>
      <c r="E19">
        <v>18</v>
      </c>
      <c r="F19">
        <v>89</v>
      </c>
      <c r="G19" t="s">
        <v>22</v>
      </c>
      <c r="H19">
        <v>3</v>
      </c>
      <c r="I19" t="s">
        <v>23</v>
      </c>
      <c r="J19" t="str">
        <f>IF(E19&gt;30,"High",IF(E19&gt;10,"Medium","Low"))</f>
        <v>Medium</v>
      </c>
      <c r="K19" t="str">
        <f>IF(F19&gt;90,"High",IF(F19&gt;75,"Medium","Low"))</f>
        <v>Medium</v>
      </c>
      <c r="L19" t="str">
        <f>IF(G19="Declining","High","Low")</f>
        <v>High</v>
      </c>
      <c r="M19" t="str">
        <f>IF(H19&gt;=3,"High",IF(H19=1,"Medium","Low"))</f>
        <v>High</v>
      </c>
      <c r="N19">
        <f>IF(J19="high",2,IF(J19="Medium",1,0))</f>
        <v>1</v>
      </c>
      <c r="O19">
        <f>IF(K19="high",2,IF(K19="medium",1,0))</f>
        <v>1</v>
      </c>
      <c r="P19">
        <f>IF(L19="high",2,0)</f>
        <v>2</v>
      </c>
      <c r="Q19">
        <f>IF(M19="high",2,IF(M19="medium",1,0))</f>
        <v>2</v>
      </c>
      <c r="R19">
        <f>SUM(N19:Q19)</f>
        <v>6</v>
      </c>
      <c r="S19" t="str">
        <f>IF(R19&gt;=5,"High Risk",IF(R19&gt;=3, "Medium Risk", "Low Risk"))</f>
        <v>High Risk</v>
      </c>
    </row>
    <row r="20" spans="1:24" x14ac:dyDescent="0.25">
      <c r="A20" t="s">
        <v>62</v>
      </c>
      <c r="B20" t="s">
        <v>38</v>
      </c>
      <c r="C20" t="s">
        <v>34</v>
      </c>
      <c r="D20">
        <v>1260181</v>
      </c>
      <c r="E20">
        <v>51</v>
      </c>
      <c r="F20">
        <v>97</v>
      </c>
      <c r="G20" t="s">
        <v>22</v>
      </c>
      <c r="H20">
        <v>0</v>
      </c>
      <c r="I20" t="s">
        <v>24</v>
      </c>
      <c r="J20" t="str">
        <f>IF(E20&gt;30,"High",IF(E20&gt;10,"Medium","Low"))</f>
        <v>High</v>
      </c>
      <c r="K20" t="str">
        <f>IF(F20&gt;90,"High",IF(F20&gt;75,"Medium","Low"))</f>
        <v>High</v>
      </c>
      <c r="L20" t="str">
        <f>IF(G20="Declining","High","Low")</f>
        <v>High</v>
      </c>
      <c r="M20" t="str">
        <f>IF(H20&gt;=3,"High",IF(H20=1,"Medium","Low"))</f>
        <v>Low</v>
      </c>
      <c r="N20">
        <f>IF(J20="high",2,IF(J20="Medium",1,0))</f>
        <v>2</v>
      </c>
      <c r="O20">
        <f>IF(K20="high",2,IF(K20="medium",1,0))</f>
        <v>2</v>
      </c>
      <c r="P20">
        <f>IF(L20="high",2,0)</f>
        <v>2</v>
      </c>
      <c r="Q20">
        <f>IF(M20="high",2,IF(M20="medium",1,0))</f>
        <v>0</v>
      </c>
      <c r="R20">
        <f>SUM(N20:Q20)</f>
        <v>6</v>
      </c>
      <c r="S20" t="str">
        <f>IF(R20&gt;=5,"High Risk",IF(R20&gt;=3, "Medium Risk", "Low Risk"))</f>
        <v>High Risk</v>
      </c>
    </row>
    <row r="21" spans="1:24" x14ac:dyDescent="0.25">
      <c r="A21" t="s">
        <v>63</v>
      </c>
      <c r="B21" t="s">
        <v>41</v>
      </c>
      <c r="C21" t="s">
        <v>42</v>
      </c>
      <c r="D21">
        <v>341123</v>
      </c>
      <c r="E21">
        <v>43</v>
      </c>
      <c r="F21">
        <v>75</v>
      </c>
      <c r="G21" t="s">
        <v>22</v>
      </c>
      <c r="H21">
        <v>5</v>
      </c>
      <c r="I21" t="s">
        <v>23</v>
      </c>
      <c r="J21" t="str">
        <f>IF(E21&gt;30,"High",IF(E21&gt;10,"Medium","Low"))</f>
        <v>High</v>
      </c>
      <c r="K21" t="str">
        <f>IF(F21&gt;90,"High",IF(F21&gt;75,"Medium","Low"))</f>
        <v>Low</v>
      </c>
      <c r="L21" t="str">
        <f>IF(G21="Declining","High","Low")</f>
        <v>High</v>
      </c>
      <c r="M21" t="str">
        <f>IF(H21&gt;=3,"High",IF(H21=1,"Medium","Low"))</f>
        <v>High</v>
      </c>
      <c r="N21">
        <f>IF(J21="high",2,IF(J21="Medium",1,0))</f>
        <v>2</v>
      </c>
      <c r="O21">
        <f>IF(K21="high",2,IF(K21="medium",1,0))</f>
        <v>0</v>
      </c>
      <c r="P21">
        <f>IF(L21="high",2,0)</f>
        <v>2</v>
      </c>
      <c r="Q21">
        <f>IF(M21="high",2,IF(M21="medium",1,0))</f>
        <v>2</v>
      </c>
      <c r="R21">
        <f>SUM(N21:Q21)</f>
        <v>6</v>
      </c>
      <c r="S21" t="str">
        <f>IF(R21&gt;=5,"High Risk",IF(R21&gt;=3, "Medium Risk", "Low Risk"))</f>
        <v>High Risk</v>
      </c>
    </row>
    <row r="22" spans="1:24" x14ac:dyDescent="0.25">
      <c r="A22" t="s">
        <v>64</v>
      </c>
      <c r="B22" t="s">
        <v>38</v>
      </c>
      <c r="C22" t="s">
        <v>54</v>
      </c>
      <c r="D22">
        <v>208946</v>
      </c>
      <c r="E22">
        <v>31</v>
      </c>
      <c r="F22">
        <v>71</v>
      </c>
      <c r="G22" t="s">
        <v>22</v>
      </c>
      <c r="H22">
        <v>3</v>
      </c>
      <c r="I22" t="s">
        <v>24</v>
      </c>
      <c r="J22" t="str">
        <f>IF(E22&gt;30,"High",IF(E22&gt;10,"Medium","Low"))</f>
        <v>High</v>
      </c>
      <c r="K22" t="str">
        <f>IF(F22&gt;90,"High",IF(F22&gt;75,"Medium","Low"))</f>
        <v>Low</v>
      </c>
      <c r="L22" t="str">
        <f>IF(G22="Declining","High","Low")</f>
        <v>High</v>
      </c>
      <c r="M22" t="str">
        <f>IF(H22&gt;=3,"High",IF(H22=1,"Medium","Low"))</f>
        <v>High</v>
      </c>
      <c r="N22">
        <f>IF(J22="high",2,IF(J22="Medium",1,0))</f>
        <v>2</v>
      </c>
      <c r="O22">
        <f>IF(K22="high",2,IF(K22="medium",1,0))</f>
        <v>0</v>
      </c>
      <c r="P22">
        <f>IF(L22="high",2,0)</f>
        <v>2</v>
      </c>
      <c r="Q22">
        <f>IF(M22="high",2,IF(M22="medium",1,0))</f>
        <v>2</v>
      </c>
      <c r="R22">
        <f>SUM(N22:Q22)</f>
        <v>6</v>
      </c>
      <c r="S22" t="str">
        <f>IF(R22&gt;=5,"High Risk",IF(R22&gt;=3, "Medium Risk", "Low Risk"))</f>
        <v>High Risk</v>
      </c>
    </row>
    <row r="23" spans="1:24" x14ac:dyDescent="0.25">
      <c r="A23" t="s">
        <v>65</v>
      </c>
      <c r="B23" t="s">
        <v>38</v>
      </c>
      <c r="C23" t="s">
        <v>21</v>
      </c>
      <c r="D23">
        <v>1347242</v>
      </c>
      <c r="E23">
        <v>58</v>
      </c>
      <c r="F23">
        <v>67</v>
      </c>
      <c r="G23" t="s">
        <v>22</v>
      </c>
      <c r="H23">
        <v>5</v>
      </c>
      <c r="I23" t="s">
        <v>23</v>
      </c>
      <c r="J23" t="str">
        <f>IF(E23&gt;30,"High",IF(E23&gt;10,"Medium","Low"))</f>
        <v>High</v>
      </c>
      <c r="K23" t="str">
        <f>IF(F23&gt;90,"High",IF(F23&gt;75,"Medium","Low"))</f>
        <v>Low</v>
      </c>
      <c r="L23" t="str">
        <f>IF(G23="Declining","High","Low")</f>
        <v>High</v>
      </c>
      <c r="M23" t="str">
        <f>IF(H23&gt;=3,"High",IF(H23=1,"Medium","Low"))</f>
        <v>High</v>
      </c>
      <c r="N23">
        <f>IF(J23="high",2,IF(J23="Medium",1,0))</f>
        <v>2</v>
      </c>
      <c r="O23">
        <f>IF(K23="high",2,IF(K23="medium",1,0))</f>
        <v>0</v>
      </c>
      <c r="P23">
        <f>IF(L23="high",2,0)</f>
        <v>2</v>
      </c>
      <c r="Q23">
        <f>IF(M23="high",2,IF(M23="medium",1,0))</f>
        <v>2</v>
      </c>
      <c r="R23">
        <f>SUM(N23:Q23)</f>
        <v>6</v>
      </c>
      <c r="S23" t="str">
        <f>IF(R23&gt;=5,"High Risk",IF(R23&gt;=3, "Medium Risk", "Low Risk"))</f>
        <v>High Risk</v>
      </c>
    </row>
    <row r="24" spans="1:24" x14ac:dyDescent="0.25">
      <c r="A24" t="s">
        <v>66</v>
      </c>
      <c r="B24" t="s">
        <v>41</v>
      </c>
      <c r="C24" t="s">
        <v>42</v>
      </c>
      <c r="D24">
        <v>1457088</v>
      </c>
      <c r="E24">
        <v>41</v>
      </c>
      <c r="F24">
        <v>63</v>
      </c>
      <c r="G24" t="s">
        <v>22</v>
      </c>
      <c r="H24">
        <v>5</v>
      </c>
      <c r="I24" t="s">
        <v>24</v>
      </c>
      <c r="J24" t="str">
        <f>IF(E24&gt;30,"High",IF(E24&gt;10,"Medium","Low"))</f>
        <v>High</v>
      </c>
      <c r="K24" t="str">
        <f>IF(F24&gt;90,"High",IF(F24&gt;75,"Medium","Low"))</f>
        <v>Low</v>
      </c>
      <c r="L24" t="str">
        <f>IF(G24="Declining","High","Low")</f>
        <v>High</v>
      </c>
      <c r="M24" t="str">
        <f>IF(H24&gt;=3,"High",IF(H24=1,"Medium","Low"))</f>
        <v>High</v>
      </c>
      <c r="N24">
        <f>IF(J24="high",2,IF(J24="Medium",1,0))</f>
        <v>2</v>
      </c>
      <c r="O24">
        <f>IF(K24="high",2,IF(K24="medium",1,0))</f>
        <v>0</v>
      </c>
      <c r="P24">
        <f>IF(L24="high",2,0)</f>
        <v>2</v>
      </c>
      <c r="Q24">
        <f>IF(M24="high",2,IF(M24="medium",1,0))</f>
        <v>2</v>
      </c>
      <c r="R24">
        <f>SUM(N24:Q24)</f>
        <v>6</v>
      </c>
      <c r="S24" t="str">
        <f>IF(R24&gt;=5,"High Risk",IF(R24&gt;=3, "Medium Risk", "Low Risk"))</f>
        <v>High Risk</v>
      </c>
    </row>
    <row r="25" spans="1:24" x14ac:dyDescent="0.25">
      <c r="A25" t="s">
        <v>67</v>
      </c>
      <c r="B25" t="s">
        <v>48</v>
      </c>
      <c r="C25" t="s">
        <v>28</v>
      </c>
      <c r="D25">
        <v>1242863</v>
      </c>
      <c r="E25">
        <v>51</v>
      </c>
      <c r="F25">
        <v>100</v>
      </c>
      <c r="G25" t="s">
        <v>68</v>
      </c>
      <c r="H25">
        <v>5</v>
      </c>
      <c r="I25" t="s">
        <v>35</v>
      </c>
      <c r="J25" t="str">
        <f>IF(E25&gt;30,"High",IF(E25&gt;10,"Medium","Low"))</f>
        <v>High</v>
      </c>
      <c r="K25" t="str">
        <f>IF(F25&gt;90,"High",IF(F25&gt;75,"Medium","Low"))</f>
        <v>High</v>
      </c>
      <c r="L25" t="str">
        <f>IF(G25="Declining","High","Low")</f>
        <v>Low</v>
      </c>
      <c r="M25" t="str">
        <f>IF(H25&gt;=3,"High",IF(H25=1,"Medium","Low"))</f>
        <v>High</v>
      </c>
      <c r="N25">
        <f>IF(J25="high",2,IF(J25="Medium",1,0))</f>
        <v>2</v>
      </c>
      <c r="O25">
        <f>IF(K25="high",2,IF(K25="medium",1,0))</f>
        <v>2</v>
      </c>
      <c r="P25">
        <f>IF(L25="high",2,0)</f>
        <v>0</v>
      </c>
      <c r="Q25">
        <f>IF(M25="high",2,IF(M25="medium",1,0))</f>
        <v>2</v>
      </c>
      <c r="R25">
        <f>SUM(N25:Q25)</f>
        <v>6</v>
      </c>
      <c r="S25" t="str">
        <f>IF(R25&gt;=5,"High Risk",IF(R25&gt;=3, "Medium Risk", "Low Risk"))</f>
        <v>High Risk</v>
      </c>
    </row>
    <row r="26" spans="1:24" x14ac:dyDescent="0.25">
      <c r="A26" t="s">
        <v>69</v>
      </c>
      <c r="B26" t="s">
        <v>20</v>
      </c>
      <c r="C26" t="s">
        <v>21</v>
      </c>
      <c r="D26">
        <v>465087</v>
      </c>
      <c r="E26">
        <v>56</v>
      </c>
      <c r="F26">
        <v>50</v>
      </c>
      <c r="G26" t="s">
        <v>22</v>
      </c>
      <c r="H26">
        <v>5</v>
      </c>
      <c r="I26" t="s">
        <v>35</v>
      </c>
      <c r="J26" t="str">
        <f>IF(E26&gt;30,"High",IF(E26&gt;10,"Medium","Low"))</f>
        <v>High</v>
      </c>
      <c r="K26" t="str">
        <f>IF(F26&gt;90,"High",IF(F26&gt;75,"Medium","Low"))</f>
        <v>Low</v>
      </c>
      <c r="L26" t="str">
        <f>IF(G26="Declining","High","Low")</f>
        <v>High</v>
      </c>
      <c r="M26" t="str">
        <f>IF(H26&gt;=3,"High",IF(H26=1,"Medium","Low"))</f>
        <v>High</v>
      </c>
      <c r="N26">
        <f>IF(J26="high",2,IF(J26="Medium",1,0))</f>
        <v>2</v>
      </c>
      <c r="O26">
        <f>IF(K26="high",2,IF(K26="medium",1,0))</f>
        <v>0</v>
      </c>
      <c r="P26">
        <f>IF(L26="high",2,0)</f>
        <v>2</v>
      </c>
      <c r="Q26">
        <f>IF(M26="high",2,IF(M26="medium",1,0))</f>
        <v>2</v>
      </c>
      <c r="R26">
        <f>SUM(N26:Q26)</f>
        <v>6</v>
      </c>
      <c r="S26" t="str">
        <f>IF(R26&gt;=5,"High Risk",IF(R26&gt;=3, "Medium Risk", "Low Risk"))</f>
        <v>High Risk</v>
      </c>
    </row>
    <row r="27" spans="1:24" x14ac:dyDescent="0.25">
      <c r="A27" t="s">
        <v>70</v>
      </c>
      <c r="B27" t="s">
        <v>48</v>
      </c>
      <c r="C27" t="s">
        <v>54</v>
      </c>
      <c r="D27">
        <v>271167</v>
      </c>
      <c r="E27">
        <v>8</v>
      </c>
      <c r="F27">
        <v>95</v>
      </c>
      <c r="G27" t="s">
        <v>22</v>
      </c>
      <c r="H27">
        <v>3</v>
      </c>
      <c r="I27" t="s">
        <v>23</v>
      </c>
      <c r="J27" t="str">
        <f>IF(E27&gt;30,"High",IF(E27&gt;10,"Medium","Low"))</f>
        <v>Low</v>
      </c>
      <c r="K27" t="str">
        <f>IF(F27&gt;90,"High",IF(F27&gt;75,"Medium","Low"))</f>
        <v>High</v>
      </c>
      <c r="L27" t="str">
        <f>IF(G27="Declining","High","Low")</f>
        <v>High</v>
      </c>
      <c r="M27" t="str">
        <f>IF(H27&gt;=3,"High",IF(H27=1,"Medium","Low"))</f>
        <v>High</v>
      </c>
      <c r="N27">
        <f>IF(J27="high",2,IF(J27="Medium",1,0))</f>
        <v>0</v>
      </c>
      <c r="O27">
        <f>IF(K27="high",2,IF(K27="medium",1,0))</f>
        <v>2</v>
      </c>
      <c r="P27">
        <f>IF(L27="high",2,0)</f>
        <v>2</v>
      </c>
      <c r="Q27">
        <f>IF(M27="high",2,IF(M27="medium",1,0))</f>
        <v>2</v>
      </c>
      <c r="R27">
        <f>SUM(N27:Q27)</f>
        <v>6</v>
      </c>
      <c r="S27" t="str">
        <f>IF(R27&gt;=5,"High Risk",IF(R27&gt;=3, "Medium Risk", "Low Risk"))</f>
        <v>High Risk</v>
      </c>
    </row>
    <row r="28" spans="1:24" x14ac:dyDescent="0.25">
      <c r="A28" t="s">
        <v>71</v>
      </c>
      <c r="B28" t="s">
        <v>41</v>
      </c>
      <c r="C28" t="s">
        <v>28</v>
      </c>
      <c r="D28">
        <v>594886</v>
      </c>
      <c r="E28">
        <v>38</v>
      </c>
      <c r="F28">
        <v>67</v>
      </c>
      <c r="G28" t="s">
        <v>22</v>
      </c>
      <c r="H28">
        <v>3</v>
      </c>
      <c r="I28" t="s">
        <v>23</v>
      </c>
      <c r="J28" t="str">
        <f>IF(E28&gt;30,"High",IF(E28&gt;10,"Medium","Low"))</f>
        <v>High</v>
      </c>
      <c r="K28" t="str">
        <f>IF(F28&gt;90,"High",IF(F28&gt;75,"Medium","Low"))</f>
        <v>Low</v>
      </c>
      <c r="L28" t="str">
        <f>IF(G28="Declining","High","Low")</f>
        <v>High</v>
      </c>
      <c r="M28" t="str">
        <f>IF(H28&gt;=3,"High",IF(H28=1,"Medium","Low"))</f>
        <v>High</v>
      </c>
      <c r="N28">
        <f>IF(J28="high",2,IF(J28="Medium",1,0))</f>
        <v>2</v>
      </c>
      <c r="O28">
        <f>IF(K28="high",2,IF(K28="medium",1,0))</f>
        <v>0</v>
      </c>
      <c r="P28">
        <f>IF(L28="high",2,0)</f>
        <v>2</v>
      </c>
      <c r="Q28">
        <f>IF(M28="high",2,IF(M28="medium",1,0))</f>
        <v>2</v>
      </c>
      <c r="R28">
        <f>SUM(N28:Q28)</f>
        <v>6</v>
      </c>
      <c r="S28" t="str">
        <f>IF(R28&gt;=5,"High Risk",IF(R28&gt;=3, "Medium Risk", "Low Risk"))</f>
        <v>High Risk</v>
      </c>
    </row>
    <row r="29" spans="1:24" x14ac:dyDescent="0.25">
      <c r="A29" t="s">
        <v>72</v>
      </c>
      <c r="B29" t="s">
        <v>41</v>
      </c>
      <c r="C29" t="s">
        <v>54</v>
      </c>
      <c r="D29">
        <v>410645</v>
      </c>
      <c r="E29">
        <v>34</v>
      </c>
      <c r="F29">
        <v>61</v>
      </c>
      <c r="G29" t="s">
        <v>22</v>
      </c>
      <c r="H29">
        <v>5</v>
      </c>
      <c r="I29" t="s">
        <v>35</v>
      </c>
      <c r="J29" t="str">
        <f>IF(E29&gt;30,"High",IF(E29&gt;10,"Medium","Low"))</f>
        <v>High</v>
      </c>
      <c r="K29" t="str">
        <f>IF(F29&gt;90,"High",IF(F29&gt;75,"Medium","Low"))</f>
        <v>Low</v>
      </c>
      <c r="L29" t="str">
        <f>IF(G29="Declining","High","Low")</f>
        <v>High</v>
      </c>
      <c r="M29" t="str">
        <f>IF(H29&gt;=3,"High",IF(H29=1,"Medium","Low"))</f>
        <v>High</v>
      </c>
      <c r="N29">
        <f>IF(J29="high",2,IF(J29="Medium",1,0))</f>
        <v>2</v>
      </c>
      <c r="O29">
        <f>IF(K29="high",2,IF(K29="medium",1,0))</f>
        <v>0</v>
      </c>
      <c r="P29">
        <f>IF(L29="high",2,0)</f>
        <v>2</v>
      </c>
      <c r="Q29">
        <f>IF(M29="high",2,IF(M29="medium",1,0))</f>
        <v>2</v>
      </c>
      <c r="R29">
        <f>SUM(N29:Q29)</f>
        <v>6</v>
      </c>
      <c r="S29" t="str">
        <f>IF(R29&gt;=5,"High Risk",IF(R29&gt;=3, "Medium Risk", "Low Risk"))</f>
        <v>High Risk</v>
      </c>
    </row>
    <row r="30" spans="1:24" x14ac:dyDescent="0.25">
      <c r="A30" t="s">
        <v>73</v>
      </c>
      <c r="B30" t="s">
        <v>20</v>
      </c>
      <c r="C30" t="s">
        <v>34</v>
      </c>
      <c r="D30">
        <v>260969</v>
      </c>
      <c r="E30">
        <v>33</v>
      </c>
      <c r="F30">
        <v>54</v>
      </c>
      <c r="G30" t="s">
        <v>22</v>
      </c>
      <c r="H30">
        <v>4</v>
      </c>
      <c r="I30" t="s">
        <v>24</v>
      </c>
      <c r="J30" t="str">
        <f>IF(E30&gt;30,"High",IF(E30&gt;10,"Medium","Low"))</f>
        <v>High</v>
      </c>
      <c r="K30" t="str">
        <f>IF(F30&gt;90,"High",IF(F30&gt;75,"Medium","Low"))</f>
        <v>Low</v>
      </c>
      <c r="L30" t="str">
        <f>IF(G30="Declining","High","Low")</f>
        <v>High</v>
      </c>
      <c r="M30" t="str">
        <f>IF(H30&gt;=3,"High",IF(H30=1,"Medium","Low"))</f>
        <v>High</v>
      </c>
      <c r="N30">
        <f>IF(J30="high",2,IF(J30="Medium",1,0))</f>
        <v>2</v>
      </c>
      <c r="O30">
        <f>IF(K30="high",2,IF(K30="medium",1,0))</f>
        <v>0</v>
      </c>
      <c r="P30">
        <f>IF(L30="high",2,0)</f>
        <v>2</v>
      </c>
      <c r="Q30">
        <f>IF(M30="high",2,IF(M30="medium",1,0))</f>
        <v>2</v>
      </c>
      <c r="R30">
        <f>SUM(N30:Q30)</f>
        <v>6</v>
      </c>
      <c r="S30" t="str">
        <f>IF(R30&gt;=5,"High Risk",IF(R30&gt;=3, "Medium Risk", "Low Risk"))</f>
        <v>High Risk</v>
      </c>
    </row>
    <row r="31" spans="1:24" x14ac:dyDescent="0.25">
      <c r="A31" t="s">
        <v>74</v>
      </c>
      <c r="B31" t="s">
        <v>31</v>
      </c>
      <c r="C31" t="s">
        <v>28</v>
      </c>
      <c r="D31">
        <v>65108</v>
      </c>
      <c r="E31">
        <v>51</v>
      </c>
      <c r="F31">
        <v>91</v>
      </c>
      <c r="G31" t="s">
        <v>22</v>
      </c>
      <c r="H31">
        <v>0</v>
      </c>
      <c r="I31" t="s">
        <v>35</v>
      </c>
      <c r="J31" t="str">
        <f>IF(E31&gt;30,"High",IF(E31&gt;10,"Medium","Low"))</f>
        <v>High</v>
      </c>
      <c r="K31" t="str">
        <f>IF(F31&gt;90,"High",IF(F31&gt;75,"Medium","Low"))</f>
        <v>High</v>
      </c>
      <c r="L31" t="str">
        <f>IF(G31="Declining","High","Low")</f>
        <v>High</v>
      </c>
      <c r="M31" t="str">
        <f>IF(H31&gt;=3,"High",IF(H31=1,"Medium","Low"))</f>
        <v>Low</v>
      </c>
      <c r="N31">
        <f>IF(J31="high",2,IF(J31="Medium",1,0))</f>
        <v>2</v>
      </c>
      <c r="O31">
        <f>IF(K31="high",2,IF(K31="medium",1,0))</f>
        <v>2</v>
      </c>
      <c r="P31">
        <f>IF(L31="high",2,0)</f>
        <v>2</v>
      </c>
      <c r="Q31">
        <f>IF(M31="high",2,IF(M31="medium",1,0))</f>
        <v>0</v>
      </c>
      <c r="R31">
        <f>SUM(N31:Q31)</f>
        <v>6</v>
      </c>
      <c r="S31" t="str">
        <f>IF(R31&gt;=5,"High Risk",IF(R31&gt;=3, "Medium Risk", "Low Risk"))</f>
        <v>High Risk</v>
      </c>
    </row>
    <row r="32" spans="1:24" x14ac:dyDescent="0.25">
      <c r="A32" t="s">
        <v>75</v>
      </c>
      <c r="B32" t="s">
        <v>20</v>
      </c>
      <c r="C32" t="s">
        <v>21</v>
      </c>
      <c r="D32">
        <v>930499</v>
      </c>
      <c r="E32">
        <v>46</v>
      </c>
      <c r="F32">
        <v>94</v>
      </c>
      <c r="G32" t="s">
        <v>56</v>
      </c>
      <c r="H32">
        <v>5</v>
      </c>
      <c r="I32" t="s">
        <v>35</v>
      </c>
      <c r="J32" t="str">
        <f>IF(E32&gt;30,"High",IF(E32&gt;10,"Medium","Low"))</f>
        <v>High</v>
      </c>
      <c r="K32" t="str">
        <f>IF(F32&gt;90,"High",IF(F32&gt;75,"Medium","Low"))</f>
        <v>High</v>
      </c>
      <c r="L32" t="str">
        <f>IF(G32="Declining","High","Low")</f>
        <v>Low</v>
      </c>
      <c r="M32" t="str">
        <f>IF(H32&gt;=3,"High",IF(H32=1,"Medium","Low"))</f>
        <v>High</v>
      </c>
      <c r="N32">
        <f>IF(J32="high",2,IF(J32="Medium",1,0))</f>
        <v>2</v>
      </c>
      <c r="O32">
        <f>IF(K32="high",2,IF(K32="medium",1,0))</f>
        <v>2</v>
      </c>
      <c r="P32">
        <f>IF(L32="high",2,0)</f>
        <v>0</v>
      </c>
      <c r="Q32">
        <f>IF(M32="high",2,IF(M32="medium",1,0))</f>
        <v>2</v>
      </c>
      <c r="R32">
        <f>SUM(N32:Q32)</f>
        <v>6</v>
      </c>
      <c r="S32" t="str">
        <f>IF(R32&gt;=5,"High Risk",IF(R32&gt;=3, "Medium Risk", "Low Risk"))</f>
        <v>High Risk</v>
      </c>
    </row>
    <row r="33" spans="1:19" x14ac:dyDescent="0.25">
      <c r="A33" t="s">
        <v>76</v>
      </c>
      <c r="B33" t="s">
        <v>31</v>
      </c>
      <c r="C33" t="s">
        <v>21</v>
      </c>
      <c r="D33">
        <v>156964</v>
      </c>
      <c r="E33">
        <v>35</v>
      </c>
      <c r="F33">
        <v>63</v>
      </c>
      <c r="G33" t="s">
        <v>22</v>
      </c>
      <c r="H33">
        <v>4</v>
      </c>
      <c r="I33" t="s">
        <v>23</v>
      </c>
      <c r="J33" t="str">
        <f>IF(E33&gt;30,"High",IF(E33&gt;10,"Medium","Low"))</f>
        <v>High</v>
      </c>
      <c r="K33" t="str">
        <f>IF(F33&gt;90,"High",IF(F33&gt;75,"Medium","Low"))</f>
        <v>Low</v>
      </c>
      <c r="L33" t="str">
        <f>IF(G33="Declining","High","Low")</f>
        <v>High</v>
      </c>
      <c r="M33" t="str">
        <f>IF(H33&gt;=3,"High",IF(H33=1,"Medium","Low"))</f>
        <v>High</v>
      </c>
      <c r="N33">
        <f>IF(J33="high",2,IF(J33="Medium",1,0))</f>
        <v>2</v>
      </c>
      <c r="O33">
        <f>IF(K33="high",2,IF(K33="medium",1,0))</f>
        <v>0</v>
      </c>
      <c r="P33">
        <f>IF(L33="high",2,0)</f>
        <v>2</v>
      </c>
      <c r="Q33">
        <f>IF(M33="high",2,IF(M33="medium",1,0))</f>
        <v>2</v>
      </c>
      <c r="R33">
        <f>SUM(N33:Q33)</f>
        <v>6</v>
      </c>
      <c r="S33" t="str">
        <f>IF(R33&gt;=5,"High Risk",IF(R33&gt;=3, "Medium Risk", "Low Risk"))</f>
        <v>High Risk</v>
      </c>
    </row>
    <row r="34" spans="1:19" x14ac:dyDescent="0.25">
      <c r="A34" t="s">
        <v>77</v>
      </c>
      <c r="B34" t="s">
        <v>31</v>
      </c>
      <c r="C34" t="s">
        <v>28</v>
      </c>
      <c r="D34">
        <v>1215794</v>
      </c>
      <c r="E34">
        <v>52</v>
      </c>
      <c r="F34">
        <v>92</v>
      </c>
      <c r="G34" t="s">
        <v>68</v>
      </c>
      <c r="H34">
        <v>4</v>
      </c>
      <c r="I34" t="s">
        <v>23</v>
      </c>
      <c r="J34" t="str">
        <f>IF(E34&gt;30,"High",IF(E34&gt;10,"Medium","Low"))</f>
        <v>High</v>
      </c>
      <c r="K34" t="str">
        <f>IF(F34&gt;90,"High",IF(F34&gt;75,"Medium","Low"))</f>
        <v>High</v>
      </c>
      <c r="L34" t="str">
        <f>IF(G34="Declining","High","Low")</f>
        <v>Low</v>
      </c>
      <c r="M34" t="str">
        <f>IF(H34&gt;=3,"High",IF(H34=1,"Medium","Low"))</f>
        <v>High</v>
      </c>
      <c r="N34">
        <f>IF(J34="high",2,IF(J34="Medium",1,0))</f>
        <v>2</v>
      </c>
      <c r="O34">
        <f>IF(K34="high",2,IF(K34="medium",1,0))</f>
        <v>2</v>
      </c>
      <c r="P34">
        <f>IF(L34="high",2,0)</f>
        <v>0</v>
      </c>
      <c r="Q34">
        <f>IF(M34="high",2,IF(M34="medium",1,0))</f>
        <v>2</v>
      </c>
      <c r="R34">
        <f>SUM(N34:Q34)</f>
        <v>6</v>
      </c>
      <c r="S34" t="str">
        <f>IF(R34&gt;=5,"High Risk",IF(R34&gt;=3, "Medium Risk", "Low Risk"))</f>
        <v>High Risk</v>
      </c>
    </row>
    <row r="35" spans="1:19" x14ac:dyDescent="0.25">
      <c r="A35" t="s">
        <v>78</v>
      </c>
      <c r="B35" t="s">
        <v>38</v>
      </c>
      <c r="C35" t="s">
        <v>42</v>
      </c>
      <c r="D35">
        <v>1151425</v>
      </c>
      <c r="E35">
        <v>37</v>
      </c>
      <c r="F35">
        <v>75</v>
      </c>
      <c r="G35" t="s">
        <v>22</v>
      </c>
      <c r="H35">
        <v>3</v>
      </c>
      <c r="I35" t="s">
        <v>35</v>
      </c>
      <c r="J35" t="str">
        <f>IF(E35&gt;30,"High",IF(E35&gt;10,"Medium","Low"))</f>
        <v>High</v>
      </c>
      <c r="K35" t="str">
        <f>IF(F35&gt;90,"High",IF(F35&gt;75,"Medium","Low"))</f>
        <v>Low</v>
      </c>
      <c r="L35" t="str">
        <f>IF(G35="Declining","High","Low")</f>
        <v>High</v>
      </c>
      <c r="M35" t="str">
        <f>IF(H35&gt;=3,"High",IF(H35=1,"Medium","Low"))</f>
        <v>High</v>
      </c>
      <c r="N35">
        <f>IF(J35="high",2,IF(J35="Medium",1,0))</f>
        <v>2</v>
      </c>
      <c r="O35">
        <f>IF(K35="high",2,IF(K35="medium",1,0))</f>
        <v>0</v>
      </c>
      <c r="P35">
        <f>IF(L35="high",2,0)</f>
        <v>2</v>
      </c>
      <c r="Q35">
        <f>IF(M35="high",2,IF(M35="medium",1,0))</f>
        <v>2</v>
      </c>
      <c r="R35">
        <f>SUM(N35:Q35)</f>
        <v>6</v>
      </c>
      <c r="S35" t="str">
        <f>IF(R35&gt;=5,"High Risk",IF(R35&gt;=3, "Medium Risk", "Low Risk"))</f>
        <v>High Risk</v>
      </c>
    </row>
    <row r="36" spans="1:19" x14ac:dyDescent="0.25">
      <c r="A36" t="s">
        <v>79</v>
      </c>
      <c r="B36" t="s">
        <v>20</v>
      </c>
      <c r="C36" t="s">
        <v>54</v>
      </c>
      <c r="D36">
        <v>1499904</v>
      </c>
      <c r="E36">
        <v>34</v>
      </c>
      <c r="F36">
        <v>45</v>
      </c>
      <c r="G36" t="s">
        <v>22</v>
      </c>
      <c r="H36">
        <v>3</v>
      </c>
      <c r="I36" t="s">
        <v>24</v>
      </c>
      <c r="J36" t="str">
        <f>IF(E36&gt;30,"High",IF(E36&gt;10,"Medium","Low"))</f>
        <v>High</v>
      </c>
      <c r="K36" t="str">
        <f>IF(F36&gt;90,"High",IF(F36&gt;75,"Medium","Low"))</f>
        <v>Low</v>
      </c>
      <c r="L36" t="str">
        <f>IF(G36="Declining","High","Low")</f>
        <v>High</v>
      </c>
      <c r="M36" t="str">
        <f>IF(H36&gt;=3,"High",IF(H36=1,"Medium","Low"))</f>
        <v>High</v>
      </c>
      <c r="N36">
        <f>IF(J36="high",2,IF(J36="Medium",1,0))</f>
        <v>2</v>
      </c>
      <c r="O36">
        <f>IF(K36="high",2,IF(K36="medium",1,0))</f>
        <v>0</v>
      </c>
      <c r="P36">
        <f>IF(L36="high",2,0)</f>
        <v>2</v>
      </c>
      <c r="Q36">
        <f>IF(M36="high",2,IF(M36="medium",1,0))</f>
        <v>2</v>
      </c>
      <c r="R36">
        <f>SUM(N36:Q36)</f>
        <v>6</v>
      </c>
      <c r="S36" t="str">
        <f>IF(R36&gt;=5,"High Risk",IF(R36&gt;=3, "Medium Risk", "Low Risk"))</f>
        <v>High Risk</v>
      </c>
    </row>
    <row r="37" spans="1:19" x14ac:dyDescent="0.25">
      <c r="A37" t="s">
        <v>80</v>
      </c>
      <c r="B37" t="s">
        <v>38</v>
      </c>
      <c r="C37" t="s">
        <v>28</v>
      </c>
      <c r="D37">
        <v>1491028</v>
      </c>
      <c r="E37">
        <v>2</v>
      </c>
      <c r="F37">
        <v>95</v>
      </c>
      <c r="G37" t="s">
        <v>22</v>
      </c>
      <c r="H37">
        <v>3</v>
      </c>
      <c r="I37" t="s">
        <v>24</v>
      </c>
      <c r="J37" t="str">
        <f>IF(E37&gt;30,"High",IF(E37&gt;10,"Medium","Low"))</f>
        <v>Low</v>
      </c>
      <c r="K37" t="str">
        <f>IF(F37&gt;90,"High",IF(F37&gt;75,"Medium","Low"))</f>
        <v>High</v>
      </c>
      <c r="L37" t="str">
        <f>IF(G37="Declining","High","Low")</f>
        <v>High</v>
      </c>
      <c r="M37" t="str">
        <f>IF(H37&gt;=3,"High",IF(H37=1,"Medium","Low"))</f>
        <v>High</v>
      </c>
      <c r="N37">
        <f>IF(J37="high",2,IF(J37="Medium",1,0))</f>
        <v>0</v>
      </c>
      <c r="O37">
        <f>IF(K37="high",2,IF(K37="medium",1,0))</f>
        <v>2</v>
      </c>
      <c r="P37">
        <f>IF(L37="high",2,0)</f>
        <v>2</v>
      </c>
      <c r="Q37">
        <f>IF(M37="high",2,IF(M37="medium",1,0))</f>
        <v>2</v>
      </c>
      <c r="R37">
        <f>SUM(N37:Q37)</f>
        <v>6</v>
      </c>
      <c r="S37" t="str">
        <f>IF(R37&gt;=5,"High Risk",IF(R37&gt;=3, "Medium Risk", "Low Risk"))</f>
        <v>High Risk</v>
      </c>
    </row>
    <row r="38" spans="1:19" x14ac:dyDescent="0.25">
      <c r="A38" t="s">
        <v>81</v>
      </c>
      <c r="B38" t="s">
        <v>41</v>
      </c>
      <c r="C38" t="s">
        <v>21</v>
      </c>
      <c r="D38">
        <v>1273085</v>
      </c>
      <c r="E38">
        <v>55</v>
      </c>
      <c r="F38">
        <v>64</v>
      </c>
      <c r="G38" t="s">
        <v>22</v>
      </c>
      <c r="H38">
        <v>4</v>
      </c>
      <c r="I38" t="s">
        <v>35</v>
      </c>
      <c r="J38" t="str">
        <f>IF(E38&gt;30,"High",IF(E38&gt;10,"Medium","Low"))</f>
        <v>High</v>
      </c>
      <c r="K38" t="str">
        <f>IF(F38&gt;90,"High",IF(F38&gt;75,"Medium","Low"))</f>
        <v>Low</v>
      </c>
      <c r="L38" t="str">
        <f>IF(G38="Declining","High","Low")</f>
        <v>High</v>
      </c>
      <c r="M38" t="str">
        <f>IF(H38&gt;=3,"High",IF(H38=1,"Medium","Low"))</f>
        <v>High</v>
      </c>
      <c r="N38">
        <f>IF(J38="high",2,IF(J38="Medium",1,0))</f>
        <v>2</v>
      </c>
      <c r="O38">
        <f>IF(K38="high",2,IF(K38="medium",1,0))</f>
        <v>0</v>
      </c>
      <c r="P38">
        <f>IF(L38="high",2,0)</f>
        <v>2</v>
      </c>
      <c r="Q38">
        <f>IF(M38="high",2,IF(M38="medium",1,0))</f>
        <v>2</v>
      </c>
      <c r="R38">
        <f>SUM(N38:Q38)</f>
        <v>6</v>
      </c>
      <c r="S38" t="str">
        <f>IF(R38&gt;=5,"High Risk",IF(R38&gt;=3, "Medium Risk", "Low Risk"))</f>
        <v>High Risk</v>
      </c>
    </row>
    <row r="39" spans="1:19" x14ac:dyDescent="0.25">
      <c r="A39" t="s">
        <v>82</v>
      </c>
      <c r="B39" t="s">
        <v>31</v>
      </c>
      <c r="C39" t="s">
        <v>34</v>
      </c>
      <c r="D39">
        <v>686986</v>
      </c>
      <c r="E39">
        <v>54</v>
      </c>
      <c r="F39">
        <v>98</v>
      </c>
      <c r="G39" t="s">
        <v>68</v>
      </c>
      <c r="H39">
        <v>5</v>
      </c>
      <c r="I39" t="s">
        <v>35</v>
      </c>
      <c r="J39" t="str">
        <f>IF(E39&gt;30,"High",IF(E39&gt;10,"Medium","Low"))</f>
        <v>High</v>
      </c>
      <c r="K39" t="str">
        <f>IF(F39&gt;90,"High",IF(F39&gt;75,"Medium","Low"))</f>
        <v>High</v>
      </c>
      <c r="L39" t="str">
        <f>IF(G39="Declining","High","Low")</f>
        <v>Low</v>
      </c>
      <c r="M39" t="str">
        <f>IF(H39&gt;=3,"High",IF(H39=1,"Medium","Low"))</f>
        <v>High</v>
      </c>
      <c r="N39">
        <f>IF(J39="high",2,IF(J39="Medium",1,0))</f>
        <v>2</v>
      </c>
      <c r="O39">
        <f>IF(K39="high",2,IF(K39="medium",1,0))</f>
        <v>2</v>
      </c>
      <c r="P39">
        <f>IF(L39="high",2,0)</f>
        <v>0</v>
      </c>
      <c r="Q39">
        <f>IF(M39="high",2,IF(M39="medium",1,0))</f>
        <v>2</v>
      </c>
      <c r="R39">
        <f>SUM(N39:Q39)</f>
        <v>6</v>
      </c>
      <c r="S39" t="str">
        <f>IF(R39&gt;=5,"High Risk",IF(R39&gt;=3, "Medium Risk", "Low Risk"))</f>
        <v>High Risk</v>
      </c>
    </row>
    <row r="40" spans="1:19" x14ac:dyDescent="0.25">
      <c r="A40" t="s">
        <v>83</v>
      </c>
      <c r="B40" t="s">
        <v>48</v>
      </c>
      <c r="C40" t="s">
        <v>34</v>
      </c>
      <c r="D40">
        <v>764272</v>
      </c>
      <c r="E40">
        <v>13</v>
      </c>
      <c r="F40">
        <v>99</v>
      </c>
      <c r="G40" t="s">
        <v>22</v>
      </c>
      <c r="H40">
        <v>1</v>
      </c>
      <c r="I40" t="s">
        <v>24</v>
      </c>
      <c r="J40" t="str">
        <f>IF(E40&gt;30,"High",IF(E40&gt;10,"Medium","Low"))</f>
        <v>Medium</v>
      </c>
      <c r="K40" t="str">
        <f>IF(F40&gt;90,"High",IF(F40&gt;75,"Medium","Low"))</f>
        <v>High</v>
      </c>
      <c r="L40" t="str">
        <f>IF(G40="Declining","High","Low")</f>
        <v>High</v>
      </c>
      <c r="M40" t="str">
        <f>IF(H40&gt;=3,"High",IF(H40=1,"Medium","Low"))</f>
        <v>Medium</v>
      </c>
      <c r="N40">
        <f>IF(J40="high",2,IF(J40="Medium",1,0))</f>
        <v>1</v>
      </c>
      <c r="O40">
        <f>IF(K40="high",2,IF(K40="medium",1,0))</f>
        <v>2</v>
      </c>
      <c r="P40">
        <f>IF(L40="high",2,0)</f>
        <v>2</v>
      </c>
      <c r="Q40">
        <f>IF(M40="high",2,IF(M40="medium",1,0))</f>
        <v>1</v>
      </c>
      <c r="R40">
        <f>SUM(N40:Q40)</f>
        <v>6</v>
      </c>
      <c r="S40" t="str">
        <f>IF(R40&gt;=5,"High Risk",IF(R40&gt;=3, "Medium Risk", "Low Risk"))</f>
        <v>High Risk</v>
      </c>
    </row>
    <row r="41" spans="1:19" x14ac:dyDescent="0.25">
      <c r="A41" t="s">
        <v>84</v>
      </c>
      <c r="B41" t="s">
        <v>31</v>
      </c>
      <c r="C41" t="s">
        <v>54</v>
      </c>
      <c r="D41">
        <v>1012517</v>
      </c>
      <c r="E41">
        <v>47</v>
      </c>
      <c r="F41">
        <v>50</v>
      </c>
      <c r="G41" t="s">
        <v>22</v>
      </c>
      <c r="H41">
        <v>3</v>
      </c>
      <c r="I41" t="s">
        <v>35</v>
      </c>
      <c r="J41" t="str">
        <f>IF(E41&gt;30,"High",IF(E41&gt;10,"Medium","Low"))</f>
        <v>High</v>
      </c>
      <c r="K41" t="str">
        <f>IF(F41&gt;90,"High",IF(F41&gt;75,"Medium","Low"))</f>
        <v>Low</v>
      </c>
      <c r="L41" t="str">
        <f>IF(G41="Declining","High","Low")</f>
        <v>High</v>
      </c>
      <c r="M41" t="str">
        <f>IF(H41&gt;=3,"High",IF(H41=1,"Medium","Low"))</f>
        <v>High</v>
      </c>
      <c r="N41">
        <f>IF(J41="high",2,IF(J41="Medium",1,0))</f>
        <v>2</v>
      </c>
      <c r="O41">
        <f>IF(K41="high",2,IF(K41="medium",1,0))</f>
        <v>0</v>
      </c>
      <c r="P41">
        <f>IF(L41="high",2,0)</f>
        <v>2</v>
      </c>
      <c r="Q41">
        <f>IF(M41="high",2,IF(M41="medium",1,0))</f>
        <v>2</v>
      </c>
      <c r="R41">
        <f>SUM(N41:Q41)</f>
        <v>6</v>
      </c>
      <c r="S41" t="str">
        <f>IF(R41&gt;=5,"High Risk",IF(R41&gt;=3, "Medium Risk", "Low Risk"))</f>
        <v>High Risk</v>
      </c>
    </row>
    <row r="42" spans="1:19" x14ac:dyDescent="0.25">
      <c r="A42" t="s">
        <v>85</v>
      </c>
      <c r="B42" t="s">
        <v>38</v>
      </c>
      <c r="C42" t="s">
        <v>28</v>
      </c>
      <c r="D42">
        <v>1129570</v>
      </c>
      <c r="E42">
        <v>30</v>
      </c>
      <c r="F42">
        <v>82</v>
      </c>
      <c r="G42" t="s">
        <v>22</v>
      </c>
      <c r="H42">
        <v>3</v>
      </c>
      <c r="I42" t="s">
        <v>24</v>
      </c>
      <c r="J42" t="str">
        <f>IF(E42&gt;30,"High",IF(E42&gt;10,"Medium","Low"))</f>
        <v>Medium</v>
      </c>
      <c r="K42" t="str">
        <f>IF(F42&gt;90,"High",IF(F42&gt;75,"Medium","Low"))</f>
        <v>Medium</v>
      </c>
      <c r="L42" t="str">
        <f>IF(G42="Declining","High","Low")</f>
        <v>High</v>
      </c>
      <c r="M42" t="str">
        <f>IF(H42&gt;=3,"High",IF(H42=1,"Medium","Low"))</f>
        <v>High</v>
      </c>
      <c r="N42">
        <f>IF(J42="high",2,IF(J42="Medium",1,0))</f>
        <v>1</v>
      </c>
      <c r="O42">
        <f>IF(K42="high",2,IF(K42="medium",1,0))</f>
        <v>1</v>
      </c>
      <c r="P42">
        <f>IF(L42="high",2,0)</f>
        <v>2</v>
      </c>
      <c r="Q42">
        <f>IF(M42="high",2,IF(M42="medium",1,0))</f>
        <v>2</v>
      </c>
      <c r="R42">
        <f>SUM(N42:Q42)</f>
        <v>6</v>
      </c>
      <c r="S42" t="str">
        <f>IF(R42&gt;=5,"High Risk",IF(R42&gt;=3, "Medium Risk", "Low Risk"))</f>
        <v>High Risk</v>
      </c>
    </row>
    <row r="43" spans="1:19" x14ac:dyDescent="0.25">
      <c r="A43" t="s">
        <v>86</v>
      </c>
      <c r="B43" t="s">
        <v>48</v>
      </c>
      <c r="C43" t="s">
        <v>54</v>
      </c>
      <c r="D43">
        <v>934596</v>
      </c>
      <c r="E43">
        <v>48</v>
      </c>
      <c r="F43">
        <v>95</v>
      </c>
      <c r="G43" t="s">
        <v>22</v>
      </c>
      <c r="H43">
        <v>0</v>
      </c>
      <c r="I43" t="s">
        <v>24</v>
      </c>
      <c r="J43" t="str">
        <f>IF(E43&gt;30,"High",IF(E43&gt;10,"Medium","Low"))</f>
        <v>High</v>
      </c>
      <c r="K43" t="str">
        <f>IF(F43&gt;90,"High",IF(F43&gt;75,"Medium","Low"))</f>
        <v>High</v>
      </c>
      <c r="L43" t="str">
        <f>IF(G43="Declining","High","Low")</f>
        <v>High</v>
      </c>
      <c r="M43" t="str">
        <f>IF(H43&gt;=3,"High",IF(H43=1,"Medium","Low"))</f>
        <v>Low</v>
      </c>
      <c r="N43">
        <f>IF(J43="high",2,IF(J43="Medium",1,0))</f>
        <v>2</v>
      </c>
      <c r="O43">
        <f>IF(K43="high",2,IF(K43="medium",1,0))</f>
        <v>2</v>
      </c>
      <c r="P43">
        <f>IF(L43="high",2,0)</f>
        <v>2</v>
      </c>
      <c r="Q43">
        <f>IF(M43="high",2,IF(M43="medium",1,0))</f>
        <v>0</v>
      </c>
      <c r="R43">
        <f>SUM(N43:Q43)</f>
        <v>6</v>
      </c>
      <c r="S43" t="str">
        <f>IF(R43&gt;=5,"High Risk",IF(R43&gt;=3, "Medium Risk", "Low Risk"))</f>
        <v>High Risk</v>
      </c>
    </row>
    <row r="44" spans="1:19" x14ac:dyDescent="0.25">
      <c r="A44" t="s">
        <v>87</v>
      </c>
      <c r="B44" t="s">
        <v>31</v>
      </c>
      <c r="C44" t="s">
        <v>54</v>
      </c>
      <c r="D44">
        <v>695131</v>
      </c>
      <c r="E44">
        <v>50</v>
      </c>
      <c r="F44">
        <v>96</v>
      </c>
      <c r="G44" t="s">
        <v>22</v>
      </c>
      <c r="H44">
        <v>2</v>
      </c>
      <c r="I44" t="s">
        <v>24</v>
      </c>
      <c r="J44" t="str">
        <f>IF(E44&gt;30,"High",IF(E44&gt;10,"Medium","Low"))</f>
        <v>High</v>
      </c>
      <c r="K44" t="str">
        <f>IF(F44&gt;90,"High",IF(F44&gt;75,"Medium","Low"))</f>
        <v>High</v>
      </c>
      <c r="L44" t="str">
        <f>IF(G44="Declining","High","Low")</f>
        <v>High</v>
      </c>
      <c r="M44" t="str">
        <f>IF(H44&gt;=3,"High",IF(H44=1,"Medium","Low"))</f>
        <v>Low</v>
      </c>
      <c r="N44">
        <f>IF(J44="high",2,IF(J44="Medium",1,0))</f>
        <v>2</v>
      </c>
      <c r="O44">
        <f>IF(K44="high",2,IF(K44="medium",1,0))</f>
        <v>2</v>
      </c>
      <c r="P44">
        <f>IF(L44="high",2,0)</f>
        <v>2</v>
      </c>
      <c r="Q44">
        <f>IF(M44="high",2,IF(M44="medium",1,0))</f>
        <v>0</v>
      </c>
      <c r="R44">
        <f>SUM(N44:Q44)</f>
        <v>6</v>
      </c>
      <c r="S44" t="str">
        <f>IF(R44&gt;=5,"High Risk",IF(R44&gt;=3, "Medium Risk", "Low Risk"))</f>
        <v>High Risk</v>
      </c>
    </row>
    <row r="45" spans="1:19" x14ac:dyDescent="0.25">
      <c r="A45" t="s">
        <v>88</v>
      </c>
      <c r="B45" t="s">
        <v>41</v>
      </c>
      <c r="C45" t="s">
        <v>21</v>
      </c>
      <c r="D45">
        <v>1068849</v>
      </c>
      <c r="E45">
        <v>58</v>
      </c>
      <c r="F45">
        <v>95</v>
      </c>
      <c r="G45" t="s">
        <v>56</v>
      </c>
      <c r="H45">
        <v>4</v>
      </c>
      <c r="I45" t="s">
        <v>24</v>
      </c>
      <c r="J45" t="str">
        <f>IF(E45&gt;30,"High",IF(E45&gt;10,"Medium","Low"))</f>
        <v>High</v>
      </c>
      <c r="K45" t="str">
        <f>IF(F45&gt;90,"High",IF(F45&gt;75,"Medium","Low"))</f>
        <v>High</v>
      </c>
      <c r="L45" t="str">
        <f>IF(G45="Declining","High","Low")</f>
        <v>Low</v>
      </c>
      <c r="M45" t="str">
        <f>IF(H45&gt;=3,"High",IF(H45=1,"Medium","Low"))</f>
        <v>High</v>
      </c>
      <c r="N45">
        <f>IF(J45="high",2,IF(J45="Medium",1,0))</f>
        <v>2</v>
      </c>
      <c r="O45">
        <f>IF(K45="high",2,IF(K45="medium",1,0))</f>
        <v>2</v>
      </c>
      <c r="P45">
        <f>IF(L45="high",2,0)</f>
        <v>0</v>
      </c>
      <c r="Q45">
        <f>IF(M45="high",2,IF(M45="medium",1,0))</f>
        <v>2</v>
      </c>
      <c r="R45">
        <f>SUM(N45:Q45)</f>
        <v>6</v>
      </c>
      <c r="S45" t="str">
        <f>IF(R45&gt;=5,"High Risk",IF(R45&gt;=3, "Medium Risk", "Low Risk"))</f>
        <v>High Risk</v>
      </c>
    </row>
    <row r="46" spans="1:19" x14ac:dyDescent="0.25">
      <c r="A46" t="s">
        <v>89</v>
      </c>
      <c r="B46" t="s">
        <v>20</v>
      </c>
      <c r="C46" t="s">
        <v>34</v>
      </c>
      <c r="D46">
        <v>742044</v>
      </c>
      <c r="E46">
        <v>57</v>
      </c>
      <c r="F46">
        <v>92</v>
      </c>
      <c r="G46" t="s">
        <v>56</v>
      </c>
      <c r="H46">
        <v>3</v>
      </c>
      <c r="I46" t="s">
        <v>24</v>
      </c>
      <c r="J46" t="str">
        <f>IF(E46&gt;30,"High",IF(E46&gt;10,"Medium","Low"))</f>
        <v>High</v>
      </c>
      <c r="K46" t="str">
        <f>IF(F46&gt;90,"High",IF(F46&gt;75,"Medium","Low"))</f>
        <v>High</v>
      </c>
      <c r="L46" t="str">
        <f>IF(G46="Declining","High","Low")</f>
        <v>Low</v>
      </c>
      <c r="M46" t="str">
        <f>IF(H46&gt;=3,"High",IF(H46=1,"Medium","Low"))</f>
        <v>High</v>
      </c>
      <c r="N46">
        <f>IF(J46="high",2,IF(J46="Medium",1,0))</f>
        <v>2</v>
      </c>
      <c r="O46">
        <f>IF(K46="high",2,IF(K46="medium",1,0))</f>
        <v>2</v>
      </c>
      <c r="P46">
        <f>IF(L46="high",2,0)</f>
        <v>0</v>
      </c>
      <c r="Q46">
        <f>IF(M46="high",2,IF(M46="medium",1,0))</f>
        <v>2</v>
      </c>
      <c r="R46">
        <f>SUM(N46:Q46)</f>
        <v>6</v>
      </c>
      <c r="S46" t="str">
        <f>IF(R46&gt;=5,"High Risk",IF(R46&gt;=3, "Medium Risk", "Low Risk"))</f>
        <v>High Risk</v>
      </c>
    </row>
    <row r="47" spans="1:19" x14ac:dyDescent="0.25">
      <c r="A47" t="s">
        <v>90</v>
      </c>
      <c r="B47" t="s">
        <v>41</v>
      </c>
      <c r="C47" t="s">
        <v>42</v>
      </c>
      <c r="D47">
        <v>912879</v>
      </c>
      <c r="E47">
        <v>46</v>
      </c>
      <c r="F47">
        <v>77</v>
      </c>
      <c r="G47" t="s">
        <v>68</v>
      </c>
      <c r="H47">
        <v>4</v>
      </c>
      <c r="I47" t="s">
        <v>24</v>
      </c>
      <c r="J47" t="str">
        <f>IF(E47&gt;30,"High",IF(E47&gt;10,"Medium","Low"))</f>
        <v>High</v>
      </c>
      <c r="K47" t="str">
        <f>IF(F47&gt;90,"High",IF(F47&gt;75,"Medium","Low"))</f>
        <v>Medium</v>
      </c>
      <c r="L47" t="str">
        <f>IF(G47="Declining","High","Low")</f>
        <v>Low</v>
      </c>
      <c r="M47" t="str">
        <f>IF(H47&gt;=3,"High",IF(H47=1,"Medium","Low"))</f>
        <v>High</v>
      </c>
      <c r="N47">
        <f>IF(J47="high",2,IF(J47="Medium",1,0))</f>
        <v>2</v>
      </c>
      <c r="O47">
        <f>IF(K47="high",2,IF(K47="medium",1,0))</f>
        <v>1</v>
      </c>
      <c r="P47">
        <f>IF(L47="high",2,0)</f>
        <v>0</v>
      </c>
      <c r="Q47">
        <f>IF(M47="high",2,IF(M47="medium",1,0))</f>
        <v>2</v>
      </c>
      <c r="R47">
        <f>SUM(N47:Q47)</f>
        <v>5</v>
      </c>
      <c r="S47" t="str">
        <f>IF(R47&gt;=5,"High Risk",IF(R47&gt;=3, "Medium Risk", "Low Risk"))</f>
        <v>High Risk</v>
      </c>
    </row>
    <row r="48" spans="1:19" x14ac:dyDescent="0.25">
      <c r="A48" t="s">
        <v>91</v>
      </c>
      <c r="B48" t="s">
        <v>38</v>
      </c>
      <c r="C48" t="s">
        <v>54</v>
      </c>
      <c r="D48">
        <v>368273</v>
      </c>
      <c r="E48">
        <v>20</v>
      </c>
      <c r="F48">
        <v>52</v>
      </c>
      <c r="G48" t="s">
        <v>22</v>
      </c>
      <c r="H48">
        <v>3</v>
      </c>
      <c r="I48" t="s">
        <v>23</v>
      </c>
      <c r="J48" t="str">
        <f>IF(E48&gt;30,"High",IF(E48&gt;10,"Medium","Low"))</f>
        <v>Medium</v>
      </c>
      <c r="K48" t="str">
        <f>IF(F48&gt;90,"High",IF(F48&gt;75,"Medium","Low"))</f>
        <v>Low</v>
      </c>
      <c r="L48" t="str">
        <f>IF(G48="Declining","High","Low")</f>
        <v>High</v>
      </c>
      <c r="M48" t="str">
        <f>IF(H48&gt;=3,"High",IF(H48=1,"Medium","Low"))</f>
        <v>High</v>
      </c>
      <c r="N48">
        <f>IF(J48="high",2,IF(J48="Medium",1,0))</f>
        <v>1</v>
      </c>
      <c r="O48">
        <f>IF(K48="high",2,IF(K48="medium",1,0))</f>
        <v>0</v>
      </c>
      <c r="P48">
        <f>IF(L48="high",2,0)</f>
        <v>2</v>
      </c>
      <c r="Q48">
        <f>IF(M48="high",2,IF(M48="medium",1,0))</f>
        <v>2</v>
      </c>
      <c r="R48">
        <f>SUM(N48:Q48)</f>
        <v>5</v>
      </c>
      <c r="S48" t="str">
        <f>IF(R48&gt;=5,"High Risk",IF(R48&gt;=3, "Medium Risk", "Low Risk"))</f>
        <v>High Risk</v>
      </c>
    </row>
    <row r="49" spans="1:19" x14ac:dyDescent="0.25">
      <c r="A49" t="s">
        <v>92</v>
      </c>
      <c r="B49" t="s">
        <v>20</v>
      </c>
      <c r="C49" t="s">
        <v>21</v>
      </c>
      <c r="D49">
        <v>1350325</v>
      </c>
      <c r="E49">
        <v>12</v>
      </c>
      <c r="F49">
        <v>45</v>
      </c>
      <c r="G49" t="s">
        <v>22</v>
      </c>
      <c r="H49">
        <v>4</v>
      </c>
      <c r="I49" t="s">
        <v>23</v>
      </c>
      <c r="J49" t="str">
        <f>IF(E49&gt;30,"High",IF(E49&gt;10,"Medium","Low"))</f>
        <v>Medium</v>
      </c>
      <c r="K49" t="str">
        <f>IF(F49&gt;90,"High",IF(F49&gt;75,"Medium","Low"))</f>
        <v>Low</v>
      </c>
      <c r="L49" t="str">
        <f>IF(G49="Declining","High","Low")</f>
        <v>High</v>
      </c>
      <c r="M49" t="str">
        <f>IF(H49&gt;=3,"High",IF(H49=1,"Medium","Low"))</f>
        <v>High</v>
      </c>
      <c r="N49">
        <f>IF(J49="high",2,IF(J49="Medium",1,0))</f>
        <v>1</v>
      </c>
      <c r="O49">
        <f>IF(K49="high",2,IF(K49="medium",1,0))</f>
        <v>0</v>
      </c>
      <c r="P49">
        <f>IF(L49="high",2,0)</f>
        <v>2</v>
      </c>
      <c r="Q49">
        <f>IF(M49="high",2,IF(M49="medium",1,0))</f>
        <v>2</v>
      </c>
      <c r="R49">
        <f>SUM(N49:Q49)</f>
        <v>5</v>
      </c>
      <c r="S49" t="str">
        <f>IF(R49&gt;=5,"High Risk",IF(R49&gt;=3, "Medium Risk", "Low Risk"))</f>
        <v>High Risk</v>
      </c>
    </row>
    <row r="50" spans="1:19" x14ac:dyDescent="0.25">
      <c r="A50" t="s">
        <v>93</v>
      </c>
      <c r="B50" t="s">
        <v>38</v>
      </c>
      <c r="C50" t="s">
        <v>42</v>
      </c>
      <c r="D50">
        <v>1361375</v>
      </c>
      <c r="E50">
        <v>43</v>
      </c>
      <c r="F50">
        <v>80</v>
      </c>
      <c r="G50" t="s">
        <v>22</v>
      </c>
      <c r="H50">
        <v>2</v>
      </c>
      <c r="I50" t="s">
        <v>35</v>
      </c>
      <c r="J50" t="str">
        <f>IF(E50&gt;30,"High",IF(E50&gt;10,"Medium","Low"))</f>
        <v>High</v>
      </c>
      <c r="K50" t="str">
        <f>IF(F50&gt;90,"High",IF(F50&gt;75,"Medium","Low"))</f>
        <v>Medium</v>
      </c>
      <c r="L50" t="str">
        <f>IF(G50="Declining","High","Low")</f>
        <v>High</v>
      </c>
      <c r="M50" t="str">
        <f>IF(H50&gt;=3,"High",IF(H50=1,"Medium","Low"))</f>
        <v>Low</v>
      </c>
      <c r="N50">
        <f>IF(J50="high",2,IF(J50="Medium",1,0))</f>
        <v>2</v>
      </c>
      <c r="O50">
        <f>IF(K50="high",2,IF(K50="medium",1,0))</f>
        <v>1</v>
      </c>
      <c r="P50">
        <f>IF(L50="high",2,0)</f>
        <v>2</v>
      </c>
      <c r="Q50">
        <f>IF(M50="high",2,IF(M50="medium",1,0))</f>
        <v>0</v>
      </c>
      <c r="R50">
        <f>SUM(N50:Q50)</f>
        <v>5</v>
      </c>
      <c r="S50" t="str">
        <f>IF(R50&gt;=5,"High Risk",IF(R50&gt;=3, "Medium Risk", "Low Risk"))</f>
        <v>High Risk</v>
      </c>
    </row>
    <row r="51" spans="1:19" x14ac:dyDescent="0.25">
      <c r="A51" t="s">
        <v>94</v>
      </c>
      <c r="B51" t="s">
        <v>38</v>
      </c>
      <c r="C51" t="s">
        <v>34</v>
      </c>
      <c r="D51">
        <v>155814</v>
      </c>
      <c r="E51">
        <v>46</v>
      </c>
      <c r="F51">
        <v>78</v>
      </c>
      <c r="G51" t="s">
        <v>22</v>
      </c>
      <c r="H51">
        <v>2</v>
      </c>
      <c r="I51" t="s">
        <v>23</v>
      </c>
      <c r="J51" t="str">
        <f>IF(E51&gt;30,"High",IF(E51&gt;10,"Medium","Low"))</f>
        <v>High</v>
      </c>
      <c r="K51" t="str">
        <f>IF(F51&gt;90,"High",IF(F51&gt;75,"Medium","Low"))</f>
        <v>Medium</v>
      </c>
      <c r="L51" t="str">
        <f>IF(G51="Declining","High","Low")</f>
        <v>High</v>
      </c>
      <c r="M51" t="str">
        <f>IF(H51&gt;=3,"High",IF(H51=1,"Medium","Low"))</f>
        <v>Low</v>
      </c>
      <c r="N51">
        <f>IF(J51="high",2,IF(J51="Medium",1,0))</f>
        <v>2</v>
      </c>
      <c r="O51">
        <f>IF(K51="high",2,IF(K51="medium",1,0))</f>
        <v>1</v>
      </c>
      <c r="P51">
        <f>IF(L51="high",2,0)</f>
        <v>2</v>
      </c>
      <c r="Q51">
        <f>IF(M51="high",2,IF(M51="medium",1,0))</f>
        <v>0</v>
      </c>
      <c r="R51">
        <f>SUM(N51:Q51)</f>
        <v>5</v>
      </c>
      <c r="S51" t="str">
        <f>IF(R51&gt;=5,"High Risk",IF(R51&gt;=3, "Medium Risk", "Low Risk"))</f>
        <v>High Risk</v>
      </c>
    </row>
    <row r="52" spans="1:19" x14ac:dyDescent="0.25">
      <c r="A52" t="s">
        <v>95</v>
      </c>
      <c r="B52" t="s">
        <v>38</v>
      </c>
      <c r="C52" t="s">
        <v>21</v>
      </c>
      <c r="D52">
        <v>973157</v>
      </c>
      <c r="E52">
        <v>21</v>
      </c>
      <c r="F52">
        <v>93</v>
      </c>
      <c r="G52" t="s">
        <v>56</v>
      </c>
      <c r="H52">
        <v>4</v>
      </c>
      <c r="I52" t="s">
        <v>23</v>
      </c>
      <c r="J52" t="str">
        <f>IF(E52&gt;30,"High",IF(E52&gt;10,"Medium","Low"))</f>
        <v>Medium</v>
      </c>
      <c r="K52" t="str">
        <f>IF(F52&gt;90,"High",IF(F52&gt;75,"Medium","Low"))</f>
        <v>High</v>
      </c>
      <c r="L52" t="str">
        <f>IF(G52="Declining","High","Low")</f>
        <v>Low</v>
      </c>
      <c r="M52" t="str">
        <f>IF(H52&gt;=3,"High",IF(H52=1,"Medium","Low"))</f>
        <v>High</v>
      </c>
      <c r="N52">
        <f>IF(J52="high",2,IF(J52="Medium",1,0))</f>
        <v>1</v>
      </c>
      <c r="O52">
        <f>IF(K52="high",2,IF(K52="medium",1,0))</f>
        <v>2</v>
      </c>
      <c r="P52">
        <f>IF(L52="high",2,0)</f>
        <v>0</v>
      </c>
      <c r="Q52">
        <f>IF(M52="high",2,IF(M52="medium",1,0))</f>
        <v>2</v>
      </c>
      <c r="R52">
        <f>SUM(N52:Q52)</f>
        <v>5</v>
      </c>
      <c r="S52" t="str">
        <f>IF(R52&gt;=5,"High Risk",IF(R52&gt;=3, "Medium Risk", "Low Risk"))</f>
        <v>High Risk</v>
      </c>
    </row>
    <row r="53" spans="1:19" x14ac:dyDescent="0.25">
      <c r="A53" t="s">
        <v>96</v>
      </c>
      <c r="B53" t="s">
        <v>20</v>
      </c>
      <c r="C53" t="s">
        <v>54</v>
      </c>
      <c r="D53">
        <v>95350</v>
      </c>
      <c r="E53">
        <v>14</v>
      </c>
      <c r="F53">
        <v>57</v>
      </c>
      <c r="G53" t="s">
        <v>22</v>
      </c>
      <c r="H53">
        <v>3</v>
      </c>
      <c r="I53" t="s">
        <v>23</v>
      </c>
      <c r="J53" t="str">
        <f>IF(E53&gt;30,"High",IF(E53&gt;10,"Medium","Low"))</f>
        <v>Medium</v>
      </c>
      <c r="K53" t="str">
        <f>IF(F53&gt;90,"High",IF(F53&gt;75,"Medium","Low"))</f>
        <v>Low</v>
      </c>
      <c r="L53" t="str">
        <f>IF(G53="Declining","High","Low")</f>
        <v>High</v>
      </c>
      <c r="M53" t="str">
        <f>IF(H53&gt;=3,"High",IF(H53=1,"Medium","Low"))</f>
        <v>High</v>
      </c>
      <c r="N53">
        <f>IF(J53="high",2,IF(J53="Medium",1,0))</f>
        <v>1</v>
      </c>
      <c r="O53">
        <f>IF(K53="high",2,IF(K53="medium",1,0))</f>
        <v>0</v>
      </c>
      <c r="P53">
        <f>IF(L53="high",2,0)</f>
        <v>2</v>
      </c>
      <c r="Q53">
        <f>IF(M53="high",2,IF(M53="medium",1,0))</f>
        <v>2</v>
      </c>
      <c r="R53">
        <f>SUM(N53:Q53)</f>
        <v>5</v>
      </c>
      <c r="S53" t="str">
        <f>IF(R53&gt;=5,"High Risk",IF(R53&gt;=3, "Medium Risk", "Low Risk"))</f>
        <v>High Risk</v>
      </c>
    </row>
    <row r="54" spans="1:19" x14ac:dyDescent="0.25">
      <c r="A54" t="s">
        <v>97</v>
      </c>
      <c r="B54" t="s">
        <v>20</v>
      </c>
      <c r="C54" t="s">
        <v>42</v>
      </c>
      <c r="D54">
        <v>889029</v>
      </c>
      <c r="E54">
        <v>0</v>
      </c>
      <c r="F54">
        <v>88</v>
      </c>
      <c r="G54" t="s">
        <v>22</v>
      </c>
      <c r="H54">
        <v>3</v>
      </c>
      <c r="I54" t="s">
        <v>23</v>
      </c>
      <c r="J54" t="str">
        <f>IF(E54&gt;30,"High",IF(E54&gt;10,"Medium","Low"))</f>
        <v>Low</v>
      </c>
      <c r="K54" t="str">
        <f>IF(F54&gt;90,"High",IF(F54&gt;75,"Medium","Low"))</f>
        <v>Medium</v>
      </c>
      <c r="L54" t="str">
        <f>IF(G54="Declining","High","Low")</f>
        <v>High</v>
      </c>
      <c r="M54" t="str">
        <f>IF(H54&gt;=3,"High",IF(H54=1,"Medium","Low"))</f>
        <v>High</v>
      </c>
      <c r="N54">
        <f>IF(J54="high",2,IF(J54="Medium",1,0))</f>
        <v>0</v>
      </c>
      <c r="O54">
        <f>IF(K54="high",2,IF(K54="medium",1,0))</f>
        <v>1</v>
      </c>
      <c r="P54">
        <f>IF(L54="high",2,0)</f>
        <v>2</v>
      </c>
      <c r="Q54">
        <f>IF(M54="high",2,IF(M54="medium",1,0))</f>
        <v>2</v>
      </c>
      <c r="R54">
        <f>SUM(N54:Q54)</f>
        <v>5</v>
      </c>
      <c r="S54" t="str">
        <f>IF(R54&gt;=5,"High Risk",IF(R54&gt;=3, "Medium Risk", "Low Risk"))</f>
        <v>High Risk</v>
      </c>
    </row>
    <row r="55" spans="1:19" x14ac:dyDescent="0.25">
      <c r="A55" t="s">
        <v>98</v>
      </c>
      <c r="B55" t="s">
        <v>20</v>
      </c>
      <c r="C55" t="s">
        <v>42</v>
      </c>
      <c r="D55">
        <v>835649</v>
      </c>
      <c r="E55">
        <v>36</v>
      </c>
      <c r="F55">
        <v>89</v>
      </c>
      <c r="G55" t="s">
        <v>68</v>
      </c>
      <c r="H55">
        <v>4</v>
      </c>
      <c r="I55" t="s">
        <v>24</v>
      </c>
      <c r="J55" t="str">
        <f>IF(E55&gt;30,"High",IF(E55&gt;10,"Medium","Low"))</f>
        <v>High</v>
      </c>
      <c r="K55" t="str">
        <f>IF(F55&gt;90,"High",IF(F55&gt;75,"Medium","Low"))</f>
        <v>Medium</v>
      </c>
      <c r="L55" t="str">
        <f>IF(G55="Declining","High","Low")</f>
        <v>Low</v>
      </c>
      <c r="M55" t="str">
        <f>IF(H55&gt;=3,"High",IF(H55=1,"Medium","Low"))</f>
        <v>High</v>
      </c>
      <c r="N55">
        <f>IF(J55="high",2,IF(J55="Medium",1,0))</f>
        <v>2</v>
      </c>
      <c r="O55">
        <f>IF(K55="high",2,IF(K55="medium",1,0))</f>
        <v>1</v>
      </c>
      <c r="P55">
        <f>IF(L55="high",2,0)</f>
        <v>0</v>
      </c>
      <c r="Q55">
        <f>IF(M55="high",2,IF(M55="medium",1,0))</f>
        <v>2</v>
      </c>
      <c r="R55">
        <f>SUM(N55:Q55)</f>
        <v>5</v>
      </c>
      <c r="S55" t="str">
        <f>IF(R55&gt;=5,"High Risk",IF(R55&gt;=3, "Medium Risk", "Low Risk"))</f>
        <v>High Risk</v>
      </c>
    </row>
    <row r="56" spans="1:19" x14ac:dyDescent="0.25">
      <c r="A56" t="s">
        <v>99</v>
      </c>
      <c r="B56" t="s">
        <v>41</v>
      </c>
      <c r="C56" t="s">
        <v>34</v>
      </c>
      <c r="D56">
        <v>324875</v>
      </c>
      <c r="E56">
        <v>33</v>
      </c>
      <c r="F56">
        <v>85</v>
      </c>
      <c r="G56" t="s">
        <v>68</v>
      </c>
      <c r="H56">
        <v>3</v>
      </c>
      <c r="I56" t="s">
        <v>24</v>
      </c>
      <c r="J56" t="str">
        <f>IF(E56&gt;30,"High",IF(E56&gt;10,"Medium","Low"))</f>
        <v>High</v>
      </c>
      <c r="K56" t="str">
        <f>IF(F56&gt;90,"High",IF(F56&gt;75,"Medium","Low"))</f>
        <v>Medium</v>
      </c>
      <c r="L56" t="str">
        <f>IF(G56="Declining","High","Low")</f>
        <v>Low</v>
      </c>
      <c r="M56" t="str">
        <f>IF(H56&gt;=3,"High",IF(H56=1,"Medium","Low"))</f>
        <v>High</v>
      </c>
      <c r="N56">
        <f>IF(J56="high",2,IF(J56="Medium",1,0))</f>
        <v>2</v>
      </c>
      <c r="O56">
        <f>IF(K56="high",2,IF(K56="medium",1,0))</f>
        <v>1</v>
      </c>
      <c r="P56">
        <f>IF(L56="high",2,0)</f>
        <v>0</v>
      </c>
      <c r="Q56">
        <f>IF(M56="high",2,IF(M56="medium",1,0))</f>
        <v>2</v>
      </c>
      <c r="R56">
        <f>SUM(N56:Q56)</f>
        <v>5</v>
      </c>
      <c r="S56" t="str">
        <f>IF(R56&gt;=5,"High Risk",IF(R56&gt;=3, "Medium Risk", "Low Risk"))</f>
        <v>High Risk</v>
      </c>
    </row>
    <row r="57" spans="1:19" x14ac:dyDescent="0.25">
      <c r="A57" t="s">
        <v>100</v>
      </c>
      <c r="B57" t="s">
        <v>38</v>
      </c>
      <c r="C57" t="s">
        <v>42</v>
      </c>
      <c r="D57">
        <v>972315</v>
      </c>
      <c r="E57">
        <v>27</v>
      </c>
      <c r="F57">
        <v>71</v>
      </c>
      <c r="G57" t="s">
        <v>22</v>
      </c>
      <c r="H57">
        <v>5</v>
      </c>
      <c r="I57" t="s">
        <v>23</v>
      </c>
      <c r="J57" t="str">
        <f>IF(E57&gt;30,"High",IF(E57&gt;10,"Medium","Low"))</f>
        <v>Medium</v>
      </c>
      <c r="K57" t="str">
        <f>IF(F57&gt;90,"High",IF(F57&gt;75,"Medium","Low"))</f>
        <v>Low</v>
      </c>
      <c r="L57" t="str">
        <f>IF(G57="Declining","High","Low")</f>
        <v>High</v>
      </c>
      <c r="M57" t="str">
        <f>IF(H57&gt;=3,"High",IF(H57=1,"Medium","Low"))</f>
        <v>High</v>
      </c>
      <c r="N57">
        <f>IF(J57="high",2,IF(J57="Medium",1,0))</f>
        <v>1</v>
      </c>
      <c r="O57">
        <f>IF(K57="high",2,IF(K57="medium",1,0))</f>
        <v>0</v>
      </c>
      <c r="P57">
        <f>IF(L57="high",2,0)</f>
        <v>2</v>
      </c>
      <c r="Q57">
        <f>IF(M57="high",2,IF(M57="medium",1,0))</f>
        <v>2</v>
      </c>
      <c r="R57">
        <f>SUM(N57:Q57)</f>
        <v>5</v>
      </c>
      <c r="S57" t="str">
        <f>IF(R57&gt;=5,"High Risk",IF(R57&gt;=3, "Medium Risk", "Low Risk"))</f>
        <v>High Risk</v>
      </c>
    </row>
    <row r="58" spans="1:19" x14ac:dyDescent="0.25">
      <c r="A58" t="s">
        <v>101</v>
      </c>
      <c r="B58" t="s">
        <v>38</v>
      </c>
      <c r="C58" t="s">
        <v>42</v>
      </c>
      <c r="D58">
        <v>98590</v>
      </c>
      <c r="E58">
        <v>30</v>
      </c>
      <c r="F58">
        <v>100</v>
      </c>
      <c r="G58" t="s">
        <v>68</v>
      </c>
      <c r="H58">
        <v>3</v>
      </c>
      <c r="I58" t="s">
        <v>35</v>
      </c>
      <c r="J58" t="str">
        <f>IF(E58&gt;30,"High",IF(E58&gt;10,"Medium","Low"))</f>
        <v>Medium</v>
      </c>
      <c r="K58" t="str">
        <f>IF(F58&gt;90,"High",IF(F58&gt;75,"Medium","Low"))</f>
        <v>High</v>
      </c>
      <c r="L58" t="str">
        <f>IF(G58="Declining","High","Low")</f>
        <v>Low</v>
      </c>
      <c r="M58" t="str">
        <f>IF(H58&gt;=3,"High",IF(H58=1,"Medium","Low"))</f>
        <v>High</v>
      </c>
      <c r="N58">
        <f>IF(J58="high",2,IF(J58="Medium",1,0))</f>
        <v>1</v>
      </c>
      <c r="O58">
        <f>IF(K58="high",2,IF(K58="medium",1,0))</f>
        <v>2</v>
      </c>
      <c r="P58">
        <f>IF(L58="high",2,0)</f>
        <v>0</v>
      </c>
      <c r="Q58">
        <f>IF(M58="high",2,IF(M58="medium",1,0))</f>
        <v>2</v>
      </c>
      <c r="R58">
        <f>SUM(N58:Q58)</f>
        <v>5</v>
      </c>
      <c r="S58" t="str">
        <f>IF(R58&gt;=5,"High Risk",IF(R58&gt;=3, "Medium Risk", "Low Risk"))</f>
        <v>High Risk</v>
      </c>
    </row>
    <row r="59" spans="1:19" x14ac:dyDescent="0.25">
      <c r="A59" t="s">
        <v>102</v>
      </c>
      <c r="B59" t="s">
        <v>31</v>
      </c>
      <c r="C59" t="s">
        <v>42</v>
      </c>
      <c r="D59">
        <v>1022026</v>
      </c>
      <c r="E59">
        <v>51</v>
      </c>
      <c r="F59">
        <v>100</v>
      </c>
      <c r="G59" t="s">
        <v>56</v>
      </c>
      <c r="H59">
        <v>1</v>
      </c>
      <c r="I59" t="s">
        <v>24</v>
      </c>
      <c r="J59" t="str">
        <f>IF(E59&gt;30,"High",IF(E59&gt;10,"Medium","Low"))</f>
        <v>High</v>
      </c>
      <c r="K59" t="str">
        <f>IF(F59&gt;90,"High",IF(F59&gt;75,"Medium","Low"))</f>
        <v>High</v>
      </c>
      <c r="L59" t="str">
        <f>IF(G59="Declining","High","Low")</f>
        <v>Low</v>
      </c>
      <c r="M59" t="str">
        <f>IF(H59&gt;=3,"High",IF(H59=1,"Medium","Low"))</f>
        <v>Medium</v>
      </c>
      <c r="N59">
        <f>IF(J59="high",2,IF(J59="Medium",1,0))</f>
        <v>2</v>
      </c>
      <c r="O59">
        <f>IF(K59="high",2,IF(K59="medium",1,0))</f>
        <v>2</v>
      </c>
      <c r="P59">
        <f>IF(L59="high",2,0)</f>
        <v>0</v>
      </c>
      <c r="Q59">
        <f>IF(M59="high",2,IF(M59="medium",1,0))</f>
        <v>1</v>
      </c>
      <c r="R59">
        <f>SUM(N59:Q59)</f>
        <v>5</v>
      </c>
      <c r="S59" t="str">
        <f>IF(R59&gt;=5,"High Risk",IF(R59&gt;=3, "Medium Risk", "Low Risk"))</f>
        <v>High Risk</v>
      </c>
    </row>
    <row r="60" spans="1:19" x14ac:dyDescent="0.25">
      <c r="A60" t="s">
        <v>103</v>
      </c>
      <c r="B60" t="s">
        <v>48</v>
      </c>
      <c r="C60" t="s">
        <v>28</v>
      </c>
      <c r="D60">
        <v>720035</v>
      </c>
      <c r="E60">
        <v>39</v>
      </c>
      <c r="F60">
        <v>54</v>
      </c>
      <c r="G60" t="s">
        <v>22</v>
      </c>
      <c r="H60">
        <v>1</v>
      </c>
      <c r="I60" t="s">
        <v>35</v>
      </c>
      <c r="J60" t="str">
        <f>IF(E60&gt;30,"High",IF(E60&gt;10,"Medium","Low"))</f>
        <v>High</v>
      </c>
      <c r="K60" t="str">
        <f>IF(F60&gt;90,"High",IF(F60&gt;75,"Medium","Low"))</f>
        <v>Low</v>
      </c>
      <c r="L60" t="str">
        <f>IF(G60="Declining","High","Low")</f>
        <v>High</v>
      </c>
      <c r="M60" t="str">
        <f>IF(H60&gt;=3,"High",IF(H60=1,"Medium","Low"))</f>
        <v>Medium</v>
      </c>
      <c r="N60">
        <f>IF(J60="high",2,IF(J60="Medium",1,0))</f>
        <v>2</v>
      </c>
      <c r="O60">
        <f>IF(K60="high",2,IF(K60="medium",1,0))</f>
        <v>0</v>
      </c>
      <c r="P60">
        <f>IF(L60="high",2,0)</f>
        <v>2</v>
      </c>
      <c r="Q60">
        <f>IF(M60="high",2,IF(M60="medium",1,0))</f>
        <v>1</v>
      </c>
      <c r="R60">
        <f>SUM(N60:Q60)</f>
        <v>5</v>
      </c>
      <c r="S60" t="str">
        <f>IF(R60&gt;=5,"High Risk",IF(R60&gt;=3, "Medium Risk", "Low Risk"))</f>
        <v>High Risk</v>
      </c>
    </row>
    <row r="61" spans="1:19" x14ac:dyDescent="0.25">
      <c r="A61" t="s">
        <v>104</v>
      </c>
      <c r="B61" t="s">
        <v>48</v>
      </c>
      <c r="C61" t="s">
        <v>34</v>
      </c>
      <c r="D61">
        <v>955466</v>
      </c>
      <c r="E61">
        <v>24</v>
      </c>
      <c r="F61">
        <v>71</v>
      </c>
      <c r="G61" t="s">
        <v>22</v>
      </c>
      <c r="H61">
        <v>3</v>
      </c>
      <c r="I61" t="s">
        <v>23</v>
      </c>
      <c r="J61" t="str">
        <f>IF(E61&gt;30,"High",IF(E61&gt;10,"Medium","Low"))</f>
        <v>Medium</v>
      </c>
      <c r="K61" t="str">
        <f>IF(F61&gt;90,"High",IF(F61&gt;75,"Medium","Low"))</f>
        <v>Low</v>
      </c>
      <c r="L61" t="str">
        <f>IF(G61="Declining","High","Low")</f>
        <v>High</v>
      </c>
      <c r="M61" t="str">
        <f>IF(H61&gt;=3,"High",IF(H61=1,"Medium","Low"))</f>
        <v>High</v>
      </c>
      <c r="N61">
        <f>IF(J61="high",2,IF(J61="Medium",1,0))</f>
        <v>1</v>
      </c>
      <c r="O61">
        <f>IF(K61="high",2,IF(K61="medium",1,0))</f>
        <v>0</v>
      </c>
      <c r="P61">
        <f>IF(L61="high",2,0)</f>
        <v>2</v>
      </c>
      <c r="Q61">
        <f>IF(M61="high",2,IF(M61="medium",1,0))</f>
        <v>2</v>
      </c>
      <c r="R61">
        <f>SUM(N61:Q61)</f>
        <v>5</v>
      </c>
      <c r="S61" t="str">
        <f>IF(R61&gt;=5,"High Risk",IF(R61&gt;=3, "Medium Risk", "Low Risk"))</f>
        <v>High Risk</v>
      </c>
    </row>
    <row r="62" spans="1:19" x14ac:dyDescent="0.25">
      <c r="A62" t="s">
        <v>105</v>
      </c>
      <c r="B62" t="s">
        <v>41</v>
      </c>
      <c r="C62" t="s">
        <v>28</v>
      </c>
      <c r="D62">
        <v>338314</v>
      </c>
      <c r="E62">
        <v>35</v>
      </c>
      <c r="F62">
        <v>76</v>
      </c>
      <c r="G62" t="s">
        <v>22</v>
      </c>
      <c r="H62">
        <v>0</v>
      </c>
      <c r="I62" t="s">
        <v>23</v>
      </c>
      <c r="J62" t="str">
        <f>IF(E62&gt;30,"High",IF(E62&gt;10,"Medium","Low"))</f>
        <v>High</v>
      </c>
      <c r="K62" t="str">
        <f>IF(F62&gt;90,"High",IF(F62&gt;75,"Medium","Low"))</f>
        <v>Medium</v>
      </c>
      <c r="L62" t="str">
        <f>IF(G62="Declining","High","Low")</f>
        <v>High</v>
      </c>
      <c r="M62" t="str">
        <f>IF(H62&gt;=3,"High",IF(H62=1,"Medium","Low"))</f>
        <v>Low</v>
      </c>
      <c r="N62">
        <f>IF(J62="high",2,IF(J62="Medium",1,0))</f>
        <v>2</v>
      </c>
      <c r="O62">
        <f>IF(K62="high",2,IF(K62="medium",1,0))</f>
        <v>1</v>
      </c>
      <c r="P62">
        <f>IF(L62="high",2,0)</f>
        <v>2</v>
      </c>
      <c r="Q62">
        <f>IF(M62="high",2,IF(M62="medium",1,0))</f>
        <v>0</v>
      </c>
      <c r="R62">
        <f>SUM(N62:Q62)</f>
        <v>5</v>
      </c>
      <c r="S62" t="str">
        <f>IF(R62&gt;=5,"High Risk",IF(R62&gt;=3, "Medium Risk", "Low Risk"))</f>
        <v>High Risk</v>
      </c>
    </row>
    <row r="63" spans="1:19" x14ac:dyDescent="0.25">
      <c r="A63" t="s">
        <v>106</v>
      </c>
      <c r="B63" t="s">
        <v>41</v>
      </c>
      <c r="C63" t="s">
        <v>42</v>
      </c>
      <c r="D63">
        <v>1389376</v>
      </c>
      <c r="E63">
        <v>13</v>
      </c>
      <c r="F63">
        <v>72</v>
      </c>
      <c r="G63" t="s">
        <v>22</v>
      </c>
      <c r="H63">
        <v>5</v>
      </c>
      <c r="I63" t="s">
        <v>23</v>
      </c>
      <c r="J63" t="str">
        <f>IF(E63&gt;30,"High",IF(E63&gt;10,"Medium","Low"))</f>
        <v>Medium</v>
      </c>
      <c r="K63" t="str">
        <f>IF(F63&gt;90,"High",IF(F63&gt;75,"Medium","Low"))</f>
        <v>Low</v>
      </c>
      <c r="L63" t="str">
        <f>IF(G63="Declining","High","Low")</f>
        <v>High</v>
      </c>
      <c r="M63" t="str">
        <f>IF(H63&gt;=3,"High",IF(H63=1,"Medium","Low"))</f>
        <v>High</v>
      </c>
      <c r="N63">
        <f>IF(J63="high",2,IF(J63="Medium",1,0))</f>
        <v>1</v>
      </c>
      <c r="O63">
        <f>IF(K63="high",2,IF(K63="medium",1,0))</f>
        <v>0</v>
      </c>
      <c r="P63">
        <f>IF(L63="high",2,0)</f>
        <v>2</v>
      </c>
      <c r="Q63">
        <f>IF(M63="high",2,IF(M63="medium",1,0))</f>
        <v>2</v>
      </c>
      <c r="R63">
        <f>SUM(N63:Q63)</f>
        <v>5</v>
      </c>
      <c r="S63" t="str">
        <f>IF(R63&gt;=5,"High Risk",IF(R63&gt;=3, "Medium Risk", "Low Risk"))</f>
        <v>High Risk</v>
      </c>
    </row>
    <row r="64" spans="1:19" x14ac:dyDescent="0.25">
      <c r="A64" t="s">
        <v>107</v>
      </c>
      <c r="B64" t="s">
        <v>48</v>
      </c>
      <c r="C64" t="s">
        <v>28</v>
      </c>
      <c r="D64">
        <v>1383232</v>
      </c>
      <c r="E64">
        <v>30</v>
      </c>
      <c r="F64">
        <v>100</v>
      </c>
      <c r="G64" t="s">
        <v>68</v>
      </c>
      <c r="H64">
        <v>3</v>
      </c>
      <c r="I64" t="s">
        <v>35</v>
      </c>
      <c r="J64" t="str">
        <f>IF(E64&gt;30,"High",IF(E64&gt;10,"Medium","Low"))</f>
        <v>Medium</v>
      </c>
      <c r="K64" t="str">
        <f>IF(F64&gt;90,"High",IF(F64&gt;75,"Medium","Low"))</f>
        <v>High</v>
      </c>
      <c r="L64" t="str">
        <f>IF(G64="Declining","High","Low")</f>
        <v>Low</v>
      </c>
      <c r="M64" t="str">
        <f>IF(H64&gt;=3,"High",IF(H64=1,"Medium","Low"))</f>
        <v>High</v>
      </c>
      <c r="N64">
        <f>IF(J64="high",2,IF(J64="Medium",1,0))</f>
        <v>1</v>
      </c>
      <c r="O64">
        <f>IF(K64="high",2,IF(K64="medium",1,0))</f>
        <v>2</v>
      </c>
      <c r="P64">
        <f>IF(L64="high",2,0)</f>
        <v>0</v>
      </c>
      <c r="Q64">
        <f>IF(M64="high",2,IF(M64="medium",1,0))</f>
        <v>2</v>
      </c>
      <c r="R64">
        <f>SUM(N64:Q64)</f>
        <v>5</v>
      </c>
      <c r="S64" t="str">
        <f>IF(R64&gt;=5,"High Risk",IF(R64&gt;=3, "Medium Risk", "Low Risk"))</f>
        <v>High Risk</v>
      </c>
    </row>
    <row r="65" spans="1:19" x14ac:dyDescent="0.25">
      <c r="A65" t="s">
        <v>108</v>
      </c>
      <c r="B65" t="s">
        <v>38</v>
      </c>
      <c r="C65" t="s">
        <v>34</v>
      </c>
      <c r="D65">
        <v>635650</v>
      </c>
      <c r="E65">
        <v>33</v>
      </c>
      <c r="F65">
        <v>92</v>
      </c>
      <c r="G65" t="s">
        <v>68</v>
      </c>
      <c r="H65">
        <v>1</v>
      </c>
      <c r="I65" t="s">
        <v>24</v>
      </c>
      <c r="J65" t="str">
        <f>IF(E65&gt;30,"High",IF(E65&gt;10,"Medium","Low"))</f>
        <v>High</v>
      </c>
      <c r="K65" t="str">
        <f>IF(F65&gt;90,"High",IF(F65&gt;75,"Medium","Low"))</f>
        <v>High</v>
      </c>
      <c r="L65" t="str">
        <f>IF(G65="Declining","High","Low")</f>
        <v>Low</v>
      </c>
      <c r="M65" t="str">
        <f>IF(H65&gt;=3,"High",IF(H65=1,"Medium","Low"))</f>
        <v>Medium</v>
      </c>
      <c r="N65">
        <f>IF(J65="high",2,IF(J65="Medium",1,0))</f>
        <v>2</v>
      </c>
      <c r="O65">
        <f>IF(K65="high",2,IF(K65="medium",1,0))</f>
        <v>2</v>
      </c>
      <c r="P65">
        <f>IF(L65="high",2,0)</f>
        <v>0</v>
      </c>
      <c r="Q65">
        <f>IF(M65="high",2,IF(M65="medium",1,0))</f>
        <v>1</v>
      </c>
      <c r="R65">
        <f>SUM(N65:Q65)</f>
        <v>5</v>
      </c>
      <c r="S65" t="str">
        <f>IF(R65&gt;=5,"High Risk",IF(R65&gt;=3, "Medium Risk", "Low Risk"))</f>
        <v>High Risk</v>
      </c>
    </row>
    <row r="66" spans="1:19" x14ac:dyDescent="0.25">
      <c r="A66" t="s">
        <v>109</v>
      </c>
      <c r="B66" t="s">
        <v>38</v>
      </c>
      <c r="C66" t="s">
        <v>28</v>
      </c>
      <c r="D66">
        <v>1378199</v>
      </c>
      <c r="E66">
        <v>58</v>
      </c>
      <c r="F66">
        <v>55</v>
      </c>
      <c r="G66" t="s">
        <v>22</v>
      </c>
      <c r="H66">
        <v>1</v>
      </c>
      <c r="I66" t="s">
        <v>35</v>
      </c>
      <c r="J66" t="str">
        <f>IF(E66&gt;30,"High",IF(E66&gt;10,"Medium","Low"))</f>
        <v>High</v>
      </c>
      <c r="K66" t="str">
        <f>IF(F66&gt;90,"High",IF(F66&gt;75,"Medium","Low"))</f>
        <v>Low</v>
      </c>
      <c r="L66" t="str">
        <f>IF(G66="Declining","High","Low")</f>
        <v>High</v>
      </c>
      <c r="M66" t="str">
        <f>IF(H66&gt;=3,"High",IF(H66=1,"Medium","Low"))</f>
        <v>Medium</v>
      </c>
      <c r="N66">
        <f>IF(J66="high",2,IF(J66="Medium",1,0))</f>
        <v>2</v>
      </c>
      <c r="O66">
        <f>IF(K66="high",2,IF(K66="medium",1,0))</f>
        <v>0</v>
      </c>
      <c r="P66">
        <f>IF(L66="high",2,0)</f>
        <v>2</v>
      </c>
      <c r="Q66">
        <f>IF(M66="high",2,IF(M66="medium",1,0))</f>
        <v>1</v>
      </c>
      <c r="R66">
        <f>SUM(N66:Q66)</f>
        <v>5</v>
      </c>
      <c r="S66" t="str">
        <f>IF(R66&gt;=5,"High Risk",IF(R66&gt;=3, "Medium Risk", "Low Risk"))</f>
        <v>High Risk</v>
      </c>
    </row>
    <row r="67" spans="1:19" x14ac:dyDescent="0.25">
      <c r="A67" t="s">
        <v>110</v>
      </c>
      <c r="B67" t="s">
        <v>20</v>
      </c>
      <c r="C67" t="s">
        <v>21</v>
      </c>
      <c r="D67">
        <v>343851</v>
      </c>
      <c r="E67">
        <v>6</v>
      </c>
      <c r="F67">
        <v>85</v>
      </c>
      <c r="G67" t="s">
        <v>22</v>
      </c>
      <c r="H67">
        <v>4</v>
      </c>
      <c r="I67" t="s">
        <v>35</v>
      </c>
      <c r="J67" t="str">
        <f>IF(E67&gt;30,"High",IF(E67&gt;10,"Medium","Low"))</f>
        <v>Low</v>
      </c>
      <c r="K67" t="str">
        <f>IF(F67&gt;90,"High",IF(F67&gt;75,"Medium","Low"))</f>
        <v>Medium</v>
      </c>
      <c r="L67" t="str">
        <f>IF(G67="Declining","High","Low")</f>
        <v>High</v>
      </c>
      <c r="M67" t="str">
        <f>IF(H67&gt;=3,"High",IF(H67=1,"Medium","Low"))</f>
        <v>High</v>
      </c>
      <c r="N67">
        <f>IF(J67="high",2,IF(J67="Medium",1,0))</f>
        <v>0</v>
      </c>
      <c r="O67">
        <f>IF(K67="high",2,IF(K67="medium",1,0))</f>
        <v>1</v>
      </c>
      <c r="P67">
        <f>IF(L67="high",2,0)</f>
        <v>2</v>
      </c>
      <c r="Q67">
        <f>IF(M67="high",2,IF(M67="medium",1,0))</f>
        <v>2</v>
      </c>
      <c r="R67">
        <f>SUM(N67:Q67)</f>
        <v>5</v>
      </c>
      <c r="S67" t="str">
        <f>IF(R67&gt;=5,"High Risk",IF(R67&gt;=3, "Medium Risk", "Low Risk"))</f>
        <v>High Risk</v>
      </c>
    </row>
    <row r="68" spans="1:19" x14ac:dyDescent="0.25">
      <c r="A68" t="s">
        <v>111</v>
      </c>
      <c r="B68" t="s">
        <v>41</v>
      </c>
      <c r="C68" t="s">
        <v>28</v>
      </c>
      <c r="D68">
        <v>571309</v>
      </c>
      <c r="E68">
        <v>15</v>
      </c>
      <c r="F68">
        <v>54</v>
      </c>
      <c r="G68" t="s">
        <v>22</v>
      </c>
      <c r="H68">
        <v>3</v>
      </c>
      <c r="I68" t="s">
        <v>23</v>
      </c>
      <c r="J68" t="str">
        <f>IF(E68&gt;30,"High",IF(E68&gt;10,"Medium","Low"))</f>
        <v>Medium</v>
      </c>
      <c r="K68" t="str">
        <f>IF(F68&gt;90,"High",IF(F68&gt;75,"Medium","Low"))</f>
        <v>Low</v>
      </c>
      <c r="L68" t="str">
        <f>IF(G68="Declining","High","Low")</f>
        <v>High</v>
      </c>
      <c r="M68" t="str">
        <f>IF(H68&gt;=3,"High",IF(H68=1,"Medium","Low"))</f>
        <v>High</v>
      </c>
      <c r="N68">
        <f>IF(J68="high",2,IF(J68="Medium",1,0))</f>
        <v>1</v>
      </c>
      <c r="O68">
        <f>IF(K68="high",2,IF(K68="medium",1,0))</f>
        <v>0</v>
      </c>
      <c r="P68">
        <f>IF(L68="high",2,0)</f>
        <v>2</v>
      </c>
      <c r="Q68">
        <f>IF(M68="high",2,IF(M68="medium",1,0))</f>
        <v>2</v>
      </c>
      <c r="R68">
        <f>SUM(N68:Q68)</f>
        <v>5</v>
      </c>
      <c r="S68" t="str">
        <f>IF(R68&gt;=5,"High Risk",IF(R68&gt;=3, "Medium Risk", "Low Risk"))</f>
        <v>High Risk</v>
      </c>
    </row>
    <row r="69" spans="1:19" x14ac:dyDescent="0.25">
      <c r="A69" t="s">
        <v>112</v>
      </c>
      <c r="B69" t="s">
        <v>48</v>
      </c>
      <c r="C69" t="s">
        <v>28</v>
      </c>
      <c r="D69">
        <v>1000878</v>
      </c>
      <c r="E69">
        <v>47</v>
      </c>
      <c r="F69">
        <v>83</v>
      </c>
      <c r="G69" t="s">
        <v>56</v>
      </c>
      <c r="H69">
        <v>5</v>
      </c>
      <c r="I69" t="s">
        <v>24</v>
      </c>
      <c r="J69" t="str">
        <f>IF(E69&gt;30,"High",IF(E69&gt;10,"Medium","Low"))</f>
        <v>High</v>
      </c>
      <c r="K69" t="str">
        <f>IF(F69&gt;90,"High",IF(F69&gt;75,"Medium","Low"))</f>
        <v>Medium</v>
      </c>
      <c r="L69" t="str">
        <f>IF(G69="Declining","High","Low")</f>
        <v>Low</v>
      </c>
      <c r="M69" t="str">
        <f>IF(H69&gt;=3,"High",IF(H69=1,"Medium","Low"))</f>
        <v>High</v>
      </c>
      <c r="N69">
        <f>IF(J69="high",2,IF(J69="Medium",1,0))</f>
        <v>2</v>
      </c>
      <c r="O69">
        <f>IF(K69="high",2,IF(K69="medium",1,0))</f>
        <v>1</v>
      </c>
      <c r="P69">
        <f>IF(L69="high",2,0)</f>
        <v>0</v>
      </c>
      <c r="Q69">
        <f>IF(M69="high",2,IF(M69="medium",1,0))</f>
        <v>2</v>
      </c>
      <c r="R69">
        <f>SUM(N69:Q69)</f>
        <v>5</v>
      </c>
      <c r="S69" t="str">
        <f>IF(R69&gt;=5,"High Risk",IF(R69&gt;=3, "Medium Risk", "Low Risk"))</f>
        <v>High Risk</v>
      </c>
    </row>
    <row r="70" spans="1:19" x14ac:dyDescent="0.25">
      <c r="A70" t="s">
        <v>113</v>
      </c>
      <c r="B70" t="s">
        <v>48</v>
      </c>
      <c r="C70" t="s">
        <v>54</v>
      </c>
      <c r="D70">
        <v>131246</v>
      </c>
      <c r="E70">
        <v>52</v>
      </c>
      <c r="F70">
        <v>82</v>
      </c>
      <c r="G70" t="s">
        <v>22</v>
      </c>
      <c r="H70">
        <v>0</v>
      </c>
      <c r="I70" t="s">
        <v>23</v>
      </c>
      <c r="J70" t="str">
        <f>IF(E70&gt;30,"High",IF(E70&gt;10,"Medium","Low"))</f>
        <v>High</v>
      </c>
      <c r="K70" t="str">
        <f>IF(F70&gt;90,"High",IF(F70&gt;75,"Medium","Low"))</f>
        <v>Medium</v>
      </c>
      <c r="L70" t="str">
        <f>IF(G70="Declining","High","Low")</f>
        <v>High</v>
      </c>
      <c r="M70" t="str">
        <f>IF(H70&gt;=3,"High",IF(H70=1,"Medium","Low"))</f>
        <v>Low</v>
      </c>
      <c r="N70">
        <f>IF(J70="high",2,IF(J70="Medium",1,0))</f>
        <v>2</v>
      </c>
      <c r="O70">
        <f>IF(K70="high",2,IF(K70="medium",1,0))</f>
        <v>1</v>
      </c>
      <c r="P70">
        <f>IF(L70="high",2,0)</f>
        <v>2</v>
      </c>
      <c r="Q70">
        <f>IF(M70="high",2,IF(M70="medium",1,0))</f>
        <v>0</v>
      </c>
      <c r="R70">
        <f>SUM(N70:Q70)</f>
        <v>5</v>
      </c>
      <c r="S70" t="str">
        <f>IF(R70&gt;=5,"High Risk",IF(R70&gt;=3, "Medium Risk", "Low Risk"))</f>
        <v>High Risk</v>
      </c>
    </row>
    <row r="71" spans="1:19" x14ac:dyDescent="0.25">
      <c r="A71" t="s">
        <v>114</v>
      </c>
      <c r="B71" t="s">
        <v>41</v>
      </c>
      <c r="C71" t="s">
        <v>54</v>
      </c>
      <c r="D71">
        <v>272110</v>
      </c>
      <c r="E71">
        <v>53</v>
      </c>
      <c r="F71">
        <v>54</v>
      </c>
      <c r="G71" t="s">
        <v>22</v>
      </c>
      <c r="H71">
        <v>1</v>
      </c>
      <c r="I71" t="s">
        <v>35</v>
      </c>
      <c r="J71" t="str">
        <f>IF(E71&gt;30,"High",IF(E71&gt;10,"Medium","Low"))</f>
        <v>High</v>
      </c>
      <c r="K71" t="str">
        <f>IF(F71&gt;90,"High",IF(F71&gt;75,"Medium","Low"))</f>
        <v>Low</v>
      </c>
      <c r="L71" t="str">
        <f>IF(G71="Declining","High","Low")</f>
        <v>High</v>
      </c>
      <c r="M71" t="str">
        <f>IF(H71&gt;=3,"High",IF(H71=1,"Medium","Low"))</f>
        <v>Medium</v>
      </c>
      <c r="N71">
        <f>IF(J71="high",2,IF(J71="Medium",1,0))</f>
        <v>2</v>
      </c>
      <c r="O71">
        <f>IF(K71="high",2,IF(K71="medium",1,0))</f>
        <v>0</v>
      </c>
      <c r="P71">
        <f>IF(L71="high",2,0)</f>
        <v>2</v>
      </c>
      <c r="Q71">
        <f>IF(M71="high",2,IF(M71="medium",1,0))</f>
        <v>1</v>
      </c>
      <c r="R71">
        <f>SUM(N71:Q71)</f>
        <v>5</v>
      </c>
      <c r="S71" t="str">
        <f>IF(R71&gt;=5,"High Risk",IF(R71&gt;=3, "Medium Risk", "Low Risk"))</f>
        <v>High Risk</v>
      </c>
    </row>
    <row r="72" spans="1:19" x14ac:dyDescent="0.25">
      <c r="A72" t="s">
        <v>115</v>
      </c>
      <c r="B72" t="s">
        <v>48</v>
      </c>
      <c r="C72" t="s">
        <v>21</v>
      </c>
      <c r="D72">
        <v>1218388</v>
      </c>
      <c r="E72">
        <v>45</v>
      </c>
      <c r="F72">
        <v>72</v>
      </c>
      <c r="G72" t="s">
        <v>22</v>
      </c>
      <c r="H72">
        <v>1</v>
      </c>
      <c r="I72" t="s">
        <v>23</v>
      </c>
      <c r="J72" t="str">
        <f>IF(E72&gt;30,"High",IF(E72&gt;10,"Medium","Low"))</f>
        <v>High</v>
      </c>
      <c r="K72" t="str">
        <f>IF(F72&gt;90,"High",IF(F72&gt;75,"Medium","Low"))</f>
        <v>Low</v>
      </c>
      <c r="L72" t="str">
        <f>IF(G72="Declining","High","Low")</f>
        <v>High</v>
      </c>
      <c r="M72" t="str">
        <f>IF(H72&gt;=3,"High",IF(H72=1,"Medium","Low"))</f>
        <v>Medium</v>
      </c>
      <c r="N72">
        <f>IF(J72="high",2,IF(J72="Medium",1,0))</f>
        <v>2</v>
      </c>
      <c r="O72">
        <f>IF(K72="high",2,IF(K72="medium",1,0))</f>
        <v>0</v>
      </c>
      <c r="P72">
        <f>IF(L72="high",2,0)</f>
        <v>2</v>
      </c>
      <c r="Q72">
        <f>IF(M72="high",2,IF(M72="medium",1,0))</f>
        <v>1</v>
      </c>
      <c r="R72">
        <f>SUM(N72:Q72)</f>
        <v>5</v>
      </c>
      <c r="S72" t="str">
        <f>IF(R72&gt;=5,"High Risk",IF(R72&gt;=3, "Medium Risk", "Low Risk"))</f>
        <v>High Risk</v>
      </c>
    </row>
    <row r="73" spans="1:19" x14ac:dyDescent="0.25">
      <c r="A73" t="s">
        <v>116</v>
      </c>
      <c r="B73" t="s">
        <v>20</v>
      </c>
      <c r="C73" t="s">
        <v>42</v>
      </c>
      <c r="D73">
        <v>260562</v>
      </c>
      <c r="E73">
        <v>22</v>
      </c>
      <c r="F73">
        <v>68</v>
      </c>
      <c r="G73" t="s">
        <v>22</v>
      </c>
      <c r="H73">
        <v>3</v>
      </c>
      <c r="I73" t="s">
        <v>35</v>
      </c>
      <c r="J73" t="str">
        <f>IF(E73&gt;30,"High",IF(E73&gt;10,"Medium","Low"))</f>
        <v>Medium</v>
      </c>
      <c r="K73" t="str">
        <f>IF(F73&gt;90,"High",IF(F73&gt;75,"Medium","Low"))</f>
        <v>Low</v>
      </c>
      <c r="L73" t="str">
        <f>IF(G73="Declining","High","Low")</f>
        <v>High</v>
      </c>
      <c r="M73" t="str">
        <f>IF(H73&gt;=3,"High",IF(H73=1,"Medium","Low"))</f>
        <v>High</v>
      </c>
      <c r="N73">
        <f>IF(J73="high",2,IF(J73="Medium",1,0))</f>
        <v>1</v>
      </c>
      <c r="O73">
        <f>IF(K73="high",2,IF(K73="medium",1,0))</f>
        <v>0</v>
      </c>
      <c r="P73">
        <f>IF(L73="high",2,0)</f>
        <v>2</v>
      </c>
      <c r="Q73">
        <f>IF(M73="high",2,IF(M73="medium",1,0))</f>
        <v>2</v>
      </c>
      <c r="R73">
        <f>SUM(N73:Q73)</f>
        <v>5</v>
      </c>
      <c r="S73" t="str">
        <f>IF(R73&gt;=5,"High Risk",IF(R73&gt;=3, "Medium Risk", "Low Risk"))</f>
        <v>High Risk</v>
      </c>
    </row>
    <row r="74" spans="1:19" x14ac:dyDescent="0.25">
      <c r="A74" t="s">
        <v>117</v>
      </c>
      <c r="B74" t="s">
        <v>48</v>
      </c>
      <c r="C74" t="s">
        <v>42</v>
      </c>
      <c r="D74">
        <v>335335</v>
      </c>
      <c r="E74">
        <v>21</v>
      </c>
      <c r="F74">
        <v>93</v>
      </c>
      <c r="G74" t="s">
        <v>22</v>
      </c>
      <c r="H74">
        <v>2</v>
      </c>
      <c r="I74" t="s">
        <v>35</v>
      </c>
      <c r="J74" t="str">
        <f>IF(E74&gt;30,"High",IF(E74&gt;10,"Medium","Low"))</f>
        <v>Medium</v>
      </c>
      <c r="K74" t="str">
        <f>IF(F74&gt;90,"High",IF(F74&gt;75,"Medium","Low"))</f>
        <v>High</v>
      </c>
      <c r="L74" t="str">
        <f>IF(G74="Declining","High","Low")</f>
        <v>High</v>
      </c>
      <c r="M74" t="str">
        <f>IF(H74&gt;=3,"High",IF(H74=1,"Medium","Low"))</f>
        <v>Low</v>
      </c>
      <c r="N74">
        <f>IF(J74="high",2,IF(J74="Medium",1,0))</f>
        <v>1</v>
      </c>
      <c r="O74">
        <f>IF(K74="high",2,IF(K74="medium",1,0))</f>
        <v>2</v>
      </c>
      <c r="P74">
        <f>IF(L74="high",2,0)</f>
        <v>2</v>
      </c>
      <c r="Q74">
        <f>IF(M74="high",2,IF(M74="medium",1,0))</f>
        <v>0</v>
      </c>
      <c r="R74">
        <f>SUM(N74:Q74)</f>
        <v>5</v>
      </c>
      <c r="S74" t="str">
        <f>IF(R74&gt;=5,"High Risk",IF(R74&gt;=3, "Medium Risk", "Low Risk"))</f>
        <v>High Risk</v>
      </c>
    </row>
    <row r="75" spans="1:19" x14ac:dyDescent="0.25">
      <c r="A75" t="s">
        <v>118</v>
      </c>
      <c r="B75" t="s">
        <v>48</v>
      </c>
      <c r="C75" t="s">
        <v>54</v>
      </c>
      <c r="D75">
        <v>1340381</v>
      </c>
      <c r="E75">
        <v>7</v>
      </c>
      <c r="F75">
        <v>97</v>
      </c>
      <c r="G75" t="s">
        <v>22</v>
      </c>
      <c r="H75">
        <v>1</v>
      </c>
      <c r="I75" t="s">
        <v>23</v>
      </c>
      <c r="J75" t="str">
        <f>IF(E75&gt;30,"High",IF(E75&gt;10,"Medium","Low"))</f>
        <v>Low</v>
      </c>
      <c r="K75" t="str">
        <f>IF(F75&gt;90,"High",IF(F75&gt;75,"Medium","Low"))</f>
        <v>High</v>
      </c>
      <c r="L75" t="str">
        <f>IF(G75="Declining","High","Low")</f>
        <v>High</v>
      </c>
      <c r="M75" t="str">
        <f>IF(H75&gt;=3,"High",IF(H75=1,"Medium","Low"))</f>
        <v>Medium</v>
      </c>
      <c r="N75">
        <f>IF(J75="high",2,IF(J75="Medium",1,0))</f>
        <v>0</v>
      </c>
      <c r="O75">
        <f>IF(K75="high",2,IF(K75="medium",1,0))</f>
        <v>2</v>
      </c>
      <c r="P75">
        <f>IF(L75="high",2,0)</f>
        <v>2</v>
      </c>
      <c r="Q75">
        <f>IF(M75="high",2,IF(M75="medium",1,0))</f>
        <v>1</v>
      </c>
      <c r="R75">
        <f>SUM(N75:Q75)</f>
        <v>5</v>
      </c>
      <c r="S75" t="str">
        <f>IF(R75&gt;=5,"High Risk",IF(R75&gt;=3, "Medium Risk", "Low Risk"))</f>
        <v>High Risk</v>
      </c>
    </row>
    <row r="76" spans="1:19" x14ac:dyDescent="0.25">
      <c r="A76" t="s">
        <v>119</v>
      </c>
      <c r="B76" t="s">
        <v>20</v>
      </c>
      <c r="C76" t="s">
        <v>21</v>
      </c>
      <c r="D76">
        <v>691341</v>
      </c>
      <c r="E76">
        <v>35</v>
      </c>
      <c r="F76">
        <v>85</v>
      </c>
      <c r="G76" t="s">
        <v>56</v>
      </c>
      <c r="H76">
        <v>3</v>
      </c>
      <c r="I76" t="s">
        <v>24</v>
      </c>
      <c r="J76" t="str">
        <f>IF(E76&gt;30,"High",IF(E76&gt;10,"Medium","Low"))</f>
        <v>High</v>
      </c>
      <c r="K76" t="str">
        <f>IF(F76&gt;90,"High",IF(F76&gt;75,"Medium","Low"))</f>
        <v>Medium</v>
      </c>
      <c r="L76" t="str">
        <f>IF(G76="Declining","High","Low")</f>
        <v>Low</v>
      </c>
      <c r="M76" t="str">
        <f>IF(H76&gt;=3,"High",IF(H76=1,"Medium","Low"))</f>
        <v>High</v>
      </c>
      <c r="N76">
        <f>IF(J76="high",2,IF(J76="Medium",1,0))</f>
        <v>2</v>
      </c>
      <c r="O76">
        <f>IF(K76="high",2,IF(K76="medium",1,0))</f>
        <v>1</v>
      </c>
      <c r="P76">
        <f>IF(L76="high",2,0)</f>
        <v>0</v>
      </c>
      <c r="Q76">
        <f>IF(M76="high",2,IF(M76="medium",1,0))</f>
        <v>2</v>
      </c>
      <c r="R76">
        <f>SUM(N76:Q76)</f>
        <v>5</v>
      </c>
      <c r="S76" t="str">
        <f>IF(R76&gt;=5,"High Risk",IF(R76&gt;=3, "Medium Risk", "Low Risk"))</f>
        <v>High Risk</v>
      </c>
    </row>
    <row r="77" spans="1:19" x14ac:dyDescent="0.25">
      <c r="A77" t="s">
        <v>120</v>
      </c>
      <c r="B77" t="s">
        <v>31</v>
      </c>
      <c r="C77" t="s">
        <v>28</v>
      </c>
      <c r="D77">
        <v>1422070</v>
      </c>
      <c r="E77">
        <v>9</v>
      </c>
      <c r="F77">
        <v>94</v>
      </c>
      <c r="G77" t="s">
        <v>22</v>
      </c>
      <c r="H77">
        <v>1</v>
      </c>
      <c r="I77" t="s">
        <v>35</v>
      </c>
      <c r="J77" t="str">
        <f>IF(E77&gt;30,"High",IF(E77&gt;10,"Medium","Low"))</f>
        <v>Low</v>
      </c>
      <c r="K77" t="str">
        <f>IF(F77&gt;90,"High",IF(F77&gt;75,"Medium","Low"))</f>
        <v>High</v>
      </c>
      <c r="L77" t="str">
        <f>IF(G77="Declining","High","Low")</f>
        <v>High</v>
      </c>
      <c r="M77" t="str">
        <f>IF(H77&gt;=3,"High",IF(H77=1,"Medium","Low"))</f>
        <v>Medium</v>
      </c>
      <c r="N77">
        <f>IF(J77="high",2,IF(J77="Medium",1,0))</f>
        <v>0</v>
      </c>
      <c r="O77">
        <f>IF(K77="high",2,IF(K77="medium",1,0))</f>
        <v>2</v>
      </c>
      <c r="P77">
        <f>IF(L77="high",2,0)</f>
        <v>2</v>
      </c>
      <c r="Q77">
        <f>IF(M77="high",2,IF(M77="medium",1,0))</f>
        <v>1</v>
      </c>
      <c r="R77">
        <f>SUM(N77:Q77)</f>
        <v>5</v>
      </c>
      <c r="S77" t="str">
        <f>IF(R77&gt;=5,"High Risk",IF(R77&gt;=3, "Medium Risk", "Low Risk"))</f>
        <v>High Risk</v>
      </c>
    </row>
    <row r="78" spans="1:19" x14ac:dyDescent="0.25">
      <c r="A78" t="s">
        <v>121</v>
      </c>
      <c r="B78" t="s">
        <v>20</v>
      </c>
      <c r="C78" t="s">
        <v>54</v>
      </c>
      <c r="D78">
        <v>566130</v>
      </c>
      <c r="E78">
        <v>17</v>
      </c>
      <c r="F78">
        <v>94</v>
      </c>
      <c r="G78" t="s">
        <v>68</v>
      </c>
      <c r="H78">
        <v>3</v>
      </c>
      <c r="I78" t="s">
        <v>23</v>
      </c>
      <c r="J78" t="str">
        <f>IF(E78&gt;30,"High",IF(E78&gt;10,"Medium","Low"))</f>
        <v>Medium</v>
      </c>
      <c r="K78" t="str">
        <f>IF(F78&gt;90,"High",IF(F78&gt;75,"Medium","Low"))</f>
        <v>High</v>
      </c>
      <c r="L78" t="str">
        <f>IF(G78="Declining","High","Low")</f>
        <v>Low</v>
      </c>
      <c r="M78" t="str">
        <f>IF(H78&gt;=3,"High",IF(H78=1,"Medium","Low"))</f>
        <v>High</v>
      </c>
      <c r="N78">
        <f>IF(J78="high",2,IF(J78="Medium",1,0))</f>
        <v>1</v>
      </c>
      <c r="O78">
        <f>IF(K78="high",2,IF(K78="medium",1,0))</f>
        <v>2</v>
      </c>
      <c r="P78">
        <f>IF(L78="high",2,0)</f>
        <v>0</v>
      </c>
      <c r="Q78">
        <f>IF(M78="high",2,IF(M78="medium",1,0))</f>
        <v>2</v>
      </c>
      <c r="R78">
        <f>SUM(N78:Q78)</f>
        <v>5</v>
      </c>
      <c r="S78" t="str">
        <f>IF(R78&gt;=5,"High Risk",IF(R78&gt;=3, "Medium Risk", "Low Risk"))</f>
        <v>High Risk</v>
      </c>
    </row>
    <row r="79" spans="1:19" x14ac:dyDescent="0.25">
      <c r="A79" t="s">
        <v>122</v>
      </c>
      <c r="B79" t="s">
        <v>48</v>
      </c>
      <c r="C79" t="s">
        <v>54</v>
      </c>
      <c r="D79">
        <v>379773</v>
      </c>
      <c r="E79">
        <v>53</v>
      </c>
      <c r="F79">
        <v>77</v>
      </c>
      <c r="G79" t="s">
        <v>68</v>
      </c>
      <c r="H79">
        <v>5</v>
      </c>
      <c r="I79" t="s">
        <v>24</v>
      </c>
      <c r="J79" t="str">
        <f>IF(E79&gt;30,"High",IF(E79&gt;10,"Medium","Low"))</f>
        <v>High</v>
      </c>
      <c r="K79" t="str">
        <f>IF(F79&gt;90,"High",IF(F79&gt;75,"Medium","Low"))</f>
        <v>Medium</v>
      </c>
      <c r="L79" t="str">
        <f>IF(G79="Declining","High","Low")</f>
        <v>Low</v>
      </c>
      <c r="M79" t="str">
        <f>IF(H79&gt;=3,"High",IF(H79=1,"Medium","Low"))</f>
        <v>High</v>
      </c>
      <c r="N79">
        <f>IF(J79="high",2,IF(J79="Medium",1,0))</f>
        <v>2</v>
      </c>
      <c r="O79">
        <f>IF(K79="high",2,IF(K79="medium",1,0))</f>
        <v>1</v>
      </c>
      <c r="P79">
        <f>IF(L79="high",2,0)</f>
        <v>0</v>
      </c>
      <c r="Q79">
        <f>IF(M79="high",2,IF(M79="medium",1,0))</f>
        <v>2</v>
      </c>
      <c r="R79">
        <f>SUM(N79:Q79)</f>
        <v>5</v>
      </c>
      <c r="S79" t="str">
        <f>IF(R79&gt;=5,"High Risk",IF(R79&gt;=3, "Medium Risk", "Low Risk"))</f>
        <v>High Risk</v>
      </c>
    </row>
    <row r="80" spans="1:19" x14ac:dyDescent="0.25">
      <c r="A80" t="s">
        <v>123</v>
      </c>
      <c r="B80" t="s">
        <v>38</v>
      </c>
      <c r="C80" t="s">
        <v>21</v>
      </c>
      <c r="D80">
        <v>1044886</v>
      </c>
      <c r="E80">
        <v>20</v>
      </c>
      <c r="F80">
        <v>68</v>
      </c>
      <c r="G80" t="s">
        <v>22</v>
      </c>
      <c r="H80">
        <v>4</v>
      </c>
      <c r="I80" t="s">
        <v>23</v>
      </c>
      <c r="J80" t="str">
        <f>IF(E80&gt;30,"High",IF(E80&gt;10,"Medium","Low"))</f>
        <v>Medium</v>
      </c>
      <c r="K80" t="str">
        <f>IF(F80&gt;90,"High",IF(F80&gt;75,"Medium","Low"))</f>
        <v>Low</v>
      </c>
      <c r="L80" t="str">
        <f>IF(G80="Declining","High","Low")</f>
        <v>High</v>
      </c>
      <c r="M80" t="str">
        <f>IF(H80&gt;=3,"High",IF(H80=1,"Medium","Low"))</f>
        <v>High</v>
      </c>
      <c r="N80">
        <f>IF(J80="high",2,IF(J80="Medium",1,0))</f>
        <v>1</v>
      </c>
      <c r="O80">
        <f>IF(K80="high",2,IF(K80="medium",1,0))</f>
        <v>0</v>
      </c>
      <c r="P80">
        <f>IF(L80="high",2,0)</f>
        <v>2</v>
      </c>
      <c r="Q80">
        <f>IF(M80="high",2,IF(M80="medium",1,0))</f>
        <v>2</v>
      </c>
      <c r="R80">
        <f>SUM(N80:Q80)</f>
        <v>5</v>
      </c>
      <c r="S80" t="str">
        <f>IF(R80&gt;=5,"High Risk",IF(R80&gt;=3, "Medium Risk", "Low Risk"))</f>
        <v>High Risk</v>
      </c>
    </row>
    <row r="81" spans="1:19" x14ac:dyDescent="0.25">
      <c r="A81" t="s">
        <v>124</v>
      </c>
      <c r="B81" t="s">
        <v>20</v>
      </c>
      <c r="C81" t="s">
        <v>34</v>
      </c>
      <c r="D81">
        <v>228984</v>
      </c>
      <c r="E81">
        <v>38</v>
      </c>
      <c r="F81">
        <v>57</v>
      </c>
      <c r="G81" t="s">
        <v>22</v>
      </c>
      <c r="H81">
        <v>1</v>
      </c>
      <c r="I81" t="s">
        <v>23</v>
      </c>
      <c r="J81" t="str">
        <f>IF(E81&gt;30,"High",IF(E81&gt;10,"Medium","Low"))</f>
        <v>High</v>
      </c>
      <c r="K81" t="str">
        <f>IF(F81&gt;90,"High",IF(F81&gt;75,"Medium","Low"))</f>
        <v>Low</v>
      </c>
      <c r="L81" t="str">
        <f>IF(G81="Declining","High","Low")</f>
        <v>High</v>
      </c>
      <c r="M81" t="str">
        <f>IF(H81&gt;=3,"High",IF(H81=1,"Medium","Low"))</f>
        <v>Medium</v>
      </c>
      <c r="N81">
        <f>IF(J81="high",2,IF(J81="Medium",1,0))</f>
        <v>2</v>
      </c>
      <c r="O81">
        <f>IF(K81="high",2,IF(K81="medium",1,0))</f>
        <v>0</v>
      </c>
      <c r="P81">
        <f>IF(L81="high",2,0)</f>
        <v>2</v>
      </c>
      <c r="Q81">
        <f>IF(M81="high",2,IF(M81="medium",1,0))</f>
        <v>1</v>
      </c>
      <c r="R81">
        <f>SUM(N81:Q81)</f>
        <v>5</v>
      </c>
      <c r="S81" t="str">
        <f>IF(R81&gt;=5,"High Risk",IF(R81&gt;=3, "Medium Risk", "Low Risk"))</f>
        <v>High Risk</v>
      </c>
    </row>
    <row r="82" spans="1:19" x14ac:dyDescent="0.25">
      <c r="A82" t="s">
        <v>125</v>
      </c>
      <c r="B82" t="s">
        <v>48</v>
      </c>
      <c r="C82" t="s">
        <v>54</v>
      </c>
      <c r="D82">
        <v>1434195</v>
      </c>
      <c r="E82">
        <v>32</v>
      </c>
      <c r="F82">
        <v>77</v>
      </c>
      <c r="G82" t="s">
        <v>56</v>
      </c>
      <c r="H82">
        <v>5</v>
      </c>
      <c r="I82" t="s">
        <v>23</v>
      </c>
      <c r="J82" t="str">
        <f>IF(E82&gt;30,"High",IF(E82&gt;10,"Medium","Low"))</f>
        <v>High</v>
      </c>
      <c r="K82" t="str">
        <f>IF(F82&gt;90,"High",IF(F82&gt;75,"Medium","Low"))</f>
        <v>Medium</v>
      </c>
      <c r="L82" t="str">
        <f>IF(G82="Declining","High","Low")</f>
        <v>Low</v>
      </c>
      <c r="M82" t="str">
        <f>IF(H82&gt;=3,"High",IF(H82=1,"Medium","Low"))</f>
        <v>High</v>
      </c>
      <c r="N82">
        <f>IF(J82="high",2,IF(J82="Medium",1,0))</f>
        <v>2</v>
      </c>
      <c r="O82">
        <f>IF(K82="high",2,IF(K82="medium",1,0))</f>
        <v>1</v>
      </c>
      <c r="P82">
        <f>IF(L82="high",2,0)</f>
        <v>0</v>
      </c>
      <c r="Q82">
        <f>IF(M82="high",2,IF(M82="medium",1,0))</f>
        <v>2</v>
      </c>
      <c r="R82">
        <f>SUM(N82:Q82)</f>
        <v>5</v>
      </c>
      <c r="S82" t="str">
        <f>IF(R82&gt;=5,"High Risk",IF(R82&gt;=3, "Medium Risk", "Low Risk"))</f>
        <v>High Risk</v>
      </c>
    </row>
    <row r="83" spans="1:19" x14ac:dyDescent="0.25">
      <c r="A83" t="s">
        <v>126</v>
      </c>
      <c r="B83" t="s">
        <v>20</v>
      </c>
      <c r="C83" t="s">
        <v>21</v>
      </c>
      <c r="D83">
        <v>172328</v>
      </c>
      <c r="E83">
        <v>19</v>
      </c>
      <c r="F83">
        <v>48</v>
      </c>
      <c r="G83" t="s">
        <v>22</v>
      </c>
      <c r="H83">
        <v>3</v>
      </c>
      <c r="I83" t="s">
        <v>35</v>
      </c>
      <c r="J83" t="str">
        <f>IF(E83&gt;30,"High",IF(E83&gt;10,"Medium","Low"))</f>
        <v>Medium</v>
      </c>
      <c r="K83" t="str">
        <f>IF(F83&gt;90,"High",IF(F83&gt;75,"Medium","Low"))</f>
        <v>Low</v>
      </c>
      <c r="L83" t="str">
        <f>IF(G83="Declining","High","Low")</f>
        <v>High</v>
      </c>
      <c r="M83" t="str">
        <f>IF(H83&gt;=3,"High",IF(H83=1,"Medium","Low"))</f>
        <v>High</v>
      </c>
      <c r="N83">
        <f>IF(J83="high",2,IF(J83="Medium",1,0))</f>
        <v>1</v>
      </c>
      <c r="O83">
        <f>IF(K83="high",2,IF(K83="medium",1,0))</f>
        <v>0</v>
      </c>
      <c r="P83">
        <f>IF(L83="high",2,0)</f>
        <v>2</v>
      </c>
      <c r="Q83">
        <f>IF(M83="high",2,IF(M83="medium",1,0))</f>
        <v>2</v>
      </c>
      <c r="R83">
        <f>SUM(N83:Q83)</f>
        <v>5</v>
      </c>
      <c r="S83" t="str">
        <f>IF(R83&gt;=5,"High Risk",IF(R83&gt;=3, "Medium Risk", "Low Risk"))</f>
        <v>High Risk</v>
      </c>
    </row>
    <row r="84" spans="1:19" x14ac:dyDescent="0.25">
      <c r="A84" t="s">
        <v>127</v>
      </c>
      <c r="B84" t="s">
        <v>20</v>
      </c>
      <c r="C84" t="s">
        <v>28</v>
      </c>
      <c r="D84">
        <v>319931</v>
      </c>
      <c r="E84">
        <v>55</v>
      </c>
      <c r="F84">
        <v>75</v>
      </c>
      <c r="G84" t="s">
        <v>22</v>
      </c>
      <c r="H84">
        <v>1</v>
      </c>
      <c r="I84" t="s">
        <v>35</v>
      </c>
      <c r="J84" t="str">
        <f>IF(E84&gt;30,"High",IF(E84&gt;10,"Medium","Low"))</f>
        <v>High</v>
      </c>
      <c r="K84" t="str">
        <f>IF(F84&gt;90,"High",IF(F84&gt;75,"Medium","Low"))</f>
        <v>Low</v>
      </c>
      <c r="L84" t="str">
        <f>IF(G84="Declining","High","Low")</f>
        <v>High</v>
      </c>
      <c r="M84" t="str">
        <f>IF(H84&gt;=3,"High",IF(H84=1,"Medium","Low"))</f>
        <v>Medium</v>
      </c>
      <c r="N84">
        <f>IF(J84="high",2,IF(J84="Medium",1,0))</f>
        <v>2</v>
      </c>
      <c r="O84">
        <f>IF(K84="high",2,IF(K84="medium",1,0))</f>
        <v>0</v>
      </c>
      <c r="P84">
        <f>IF(L84="high",2,0)</f>
        <v>2</v>
      </c>
      <c r="Q84">
        <f>IF(M84="high",2,IF(M84="medium",1,0))</f>
        <v>1</v>
      </c>
      <c r="R84">
        <f>SUM(N84:Q84)</f>
        <v>5</v>
      </c>
      <c r="S84" t="str">
        <f>IF(R84&gt;=5,"High Risk",IF(R84&gt;=3, "Medium Risk", "Low Risk"))</f>
        <v>High Risk</v>
      </c>
    </row>
    <row r="85" spans="1:19" x14ac:dyDescent="0.25">
      <c r="A85" t="s">
        <v>128</v>
      </c>
      <c r="B85" t="s">
        <v>48</v>
      </c>
      <c r="C85" t="s">
        <v>28</v>
      </c>
      <c r="D85">
        <v>1136683</v>
      </c>
      <c r="E85">
        <v>25</v>
      </c>
      <c r="F85">
        <v>67</v>
      </c>
      <c r="G85" t="s">
        <v>22</v>
      </c>
      <c r="H85">
        <v>4</v>
      </c>
      <c r="I85" t="s">
        <v>24</v>
      </c>
      <c r="J85" t="str">
        <f>IF(E85&gt;30,"High",IF(E85&gt;10,"Medium","Low"))</f>
        <v>Medium</v>
      </c>
      <c r="K85" t="str">
        <f>IF(F85&gt;90,"High",IF(F85&gt;75,"Medium","Low"))</f>
        <v>Low</v>
      </c>
      <c r="L85" t="str">
        <f>IF(G85="Declining","High","Low")</f>
        <v>High</v>
      </c>
      <c r="M85" t="str">
        <f>IF(H85&gt;=3,"High",IF(H85=1,"Medium","Low"))</f>
        <v>High</v>
      </c>
      <c r="N85">
        <f>IF(J85="high",2,IF(J85="Medium",1,0))</f>
        <v>1</v>
      </c>
      <c r="O85">
        <f>IF(K85="high",2,IF(K85="medium",1,0))</f>
        <v>0</v>
      </c>
      <c r="P85">
        <f>IF(L85="high",2,0)</f>
        <v>2</v>
      </c>
      <c r="Q85">
        <f>IF(M85="high",2,IF(M85="medium",1,0))</f>
        <v>2</v>
      </c>
      <c r="R85">
        <f>SUM(N85:Q85)</f>
        <v>5</v>
      </c>
      <c r="S85" t="str">
        <f>IF(R85&gt;=5,"High Risk",IF(R85&gt;=3, "Medium Risk", "Low Risk"))</f>
        <v>High Risk</v>
      </c>
    </row>
    <row r="86" spans="1:19" x14ac:dyDescent="0.25">
      <c r="A86" t="s">
        <v>129</v>
      </c>
      <c r="B86" t="s">
        <v>20</v>
      </c>
      <c r="C86" t="s">
        <v>21</v>
      </c>
      <c r="D86">
        <v>1379348</v>
      </c>
      <c r="E86">
        <v>50</v>
      </c>
      <c r="F86">
        <v>100</v>
      </c>
      <c r="G86" t="s">
        <v>56</v>
      </c>
      <c r="H86">
        <v>1</v>
      </c>
      <c r="I86" t="s">
        <v>24</v>
      </c>
      <c r="J86" t="str">
        <f>IF(E86&gt;30,"High",IF(E86&gt;10,"Medium","Low"))</f>
        <v>High</v>
      </c>
      <c r="K86" t="str">
        <f>IF(F86&gt;90,"High",IF(F86&gt;75,"Medium","Low"))</f>
        <v>High</v>
      </c>
      <c r="L86" t="str">
        <f>IF(G86="Declining","High","Low")</f>
        <v>Low</v>
      </c>
      <c r="M86" t="str">
        <f>IF(H86&gt;=3,"High",IF(H86=1,"Medium","Low"))</f>
        <v>Medium</v>
      </c>
      <c r="N86">
        <f>IF(J86="high",2,IF(J86="Medium",1,0))</f>
        <v>2</v>
      </c>
      <c r="O86">
        <f>IF(K86="high",2,IF(K86="medium",1,0))</f>
        <v>2</v>
      </c>
      <c r="P86">
        <f>IF(L86="high",2,0)</f>
        <v>0</v>
      </c>
      <c r="Q86">
        <f>IF(M86="high",2,IF(M86="medium",1,0))</f>
        <v>1</v>
      </c>
      <c r="R86">
        <f>SUM(N86:Q86)</f>
        <v>5</v>
      </c>
      <c r="S86" t="str">
        <f>IF(R86&gt;=5,"High Risk",IF(R86&gt;=3, "Medium Risk", "Low Risk"))</f>
        <v>High Risk</v>
      </c>
    </row>
    <row r="87" spans="1:19" x14ac:dyDescent="0.25">
      <c r="A87" t="s">
        <v>130</v>
      </c>
      <c r="B87" t="s">
        <v>31</v>
      </c>
      <c r="C87" t="s">
        <v>42</v>
      </c>
      <c r="D87">
        <v>216200</v>
      </c>
      <c r="E87">
        <v>13</v>
      </c>
      <c r="F87">
        <v>92</v>
      </c>
      <c r="G87" t="s">
        <v>22</v>
      </c>
      <c r="H87">
        <v>0</v>
      </c>
      <c r="I87" t="s">
        <v>23</v>
      </c>
      <c r="J87" t="str">
        <f>IF(E87&gt;30,"High",IF(E87&gt;10,"Medium","Low"))</f>
        <v>Medium</v>
      </c>
      <c r="K87" t="str">
        <f>IF(F87&gt;90,"High",IF(F87&gt;75,"Medium","Low"))</f>
        <v>High</v>
      </c>
      <c r="L87" t="str">
        <f>IF(G87="Declining","High","Low")</f>
        <v>High</v>
      </c>
      <c r="M87" t="str">
        <f>IF(H87&gt;=3,"High",IF(H87=1,"Medium","Low"))</f>
        <v>Low</v>
      </c>
      <c r="N87">
        <f>IF(J87="high",2,IF(J87="Medium",1,0))</f>
        <v>1</v>
      </c>
      <c r="O87">
        <f>IF(K87="high",2,IF(K87="medium",1,0))</f>
        <v>2</v>
      </c>
      <c r="P87">
        <f>IF(L87="high",2,0)</f>
        <v>2</v>
      </c>
      <c r="Q87">
        <f>IF(M87="high",2,IF(M87="medium",1,0))</f>
        <v>0</v>
      </c>
      <c r="R87">
        <f>SUM(N87:Q87)</f>
        <v>5</v>
      </c>
      <c r="S87" t="str">
        <f>IF(R87&gt;=5,"High Risk",IF(R87&gt;=3, "Medium Risk", "Low Risk"))</f>
        <v>High Risk</v>
      </c>
    </row>
    <row r="88" spans="1:19" x14ac:dyDescent="0.25">
      <c r="A88" t="s">
        <v>131</v>
      </c>
      <c r="B88" t="s">
        <v>31</v>
      </c>
      <c r="C88" t="s">
        <v>21</v>
      </c>
      <c r="D88">
        <v>343373</v>
      </c>
      <c r="E88">
        <v>33</v>
      </c>
      <c r="F88">
        <v>80</v>
      </c>
      <c r="G88" t="s">
        <v>68</v>
      </c>
      <c r="H88">
        <v>3</v>
      </c>
      <c r="I88" t="s">
        <v>24</v>
      </c>
      <c r="J88" t="str">
        <f>IF(E88&gt;30,"High",IF(E88&gt;10,"Medium","Low"))</f>
        <v>High</v>
      </c>
      <c r="K88" t="str">
        <f>IF(F88&gt;90,"High",IF(F88&gt;75,"Medium","Low"))</f>
        <v>Medium</v>
      </c>
      <c r="L88" t="str">
        <f>IF(G88="Declining","High","Low")</f>
        <v>Low</v>
      </c>
      <c r="M88" t="str">
        <f>IF(H88&gt;=3,"High",IF(H88=1,"Medium","Low"))</f>
        <v>High</v>
      </c>
      <c r="N88">
        <f>IF(J88="high",2,IF(J88="Medium",1,0))</f>
        <v>2</v>
      </c>
      <c r="O88">
        <f>IF(K88="high",2,IF(K88="medium",1,0))</f>
        <v>1</v>
      </c>
      <c r="P88">
        <f>IF(L88="high",2,0)</f>
        <v>0</v>
      </c>
      <c r="Q88">
        <f>IF(M88="high",2,IF(M88="medium",1,0))</f>
        <v>2</v>
      </c>
      <c r="R88">
        <f>SUM(N88:Q88)</f>
        <v>5</v>
      </c>
      <c r="S88" t="str">
        <f>IF(R88&gt;=5,"High Risk",IF(R88&gt;=3, "Medium Risk", "Low Risk"))</f>
        <v>High Risk</v>
      </c>
    </row>
    <row r="89" spans="1:19" x14ac:dyDescent="0.25">
      <c r="A89" t="s">
        <v>132</v>
      </c>
      <c r="B89" t="s">
        <v>48</v>
      </c>
      <c r="C89" t="s">
        <v>54</v>
      </c>
      <c r="D89">
        <v>421916</v>
      </c>
      <c r="E89">
        <v>10</v>
      </c>
      <c r="F89">
        <v>88</v>
      </c>
      <c r="G89" t="s">
        <v>22</v>
      </c>
      <c r="H89">
        <v>3</v>
      </c>
      <c r="I89" t="s">
        <v>24</v>
      </c>
      <c r="J89" t="str">
        <f>IF(E89&gt;30,"High",IF(E89&gt;10,"Medium","Low"))</f>
        <v>Low</v>
      </c>
      <c r="K89" t="str">
        <f>IF(F89&gt;90,"High",IF(F89&gt;75,"Medium","Low"))</f>
        <v>Medium</v>
      </c>
      <c r="L89" t="str">
        <f>IF(G89="Declining","High","Low")</f>
        <v>High</v>
      </c>
      <c r="M89" t="str">
        <f>IF(H89&gt;=3,"High",IF(H89=1,"Medium","Low"))</f>
        <v>High</v>
      </c>
      <c r="N89">
        <f>IF(J89="high",2,IF(J89="Medium",1,0))</f>
        <v>0</v>
      </c>
      <c r="O89">
        <f>IF(K89="high",2,IF(K89="medium",1,0))</f>
        <v>1</v>
      </c>
      <c r="P89">
        <f>IF(L89="high",2,0)</f>
        <v>2</v>
      </c>
      <c r="Q89">
        <f>IF(M89="high",2,IF(M89="medium",1,0))</f>
        <v>2</v>
      </c>
      <c r="R89">
        <f>SUM(N89:Q89)</f>
        <v>5</v>
      </c>
      <c r="S89" t="str">
        <f>IF(R89&gt;=5,"High Risk",IF(R89&gt;=3, "Medium Risk", "Low Risk"))</f>
        <v>High Risk</v>
      </c>
    </row>
    <row r="90" spans="1:19" x14ac:dyDescent="0.25">
      <c r="A90" t="s">
        <v>133</v>
      </c>
      <c r="B90" t="s">
        <v>48</v>
      </c>
      <c r="C90" t="s">
        <v>34</v>
      </c>
      <c r="D90">
        <v>993310</v>
      </c>
      <c r="E90">
        <v>43</v>
      </c>
      <c r="F90">
        <v>60</v>
      </c>
      <c r="G90" t="s">
        <v>22</v>
      </c>
      <c r="H90">
        <v>1</v>
      </c>
      <c r="I90" t="s">
        <v>24</v>
      </c>
      <c r="J90" t="str">
        <f>IF(E90&gt;30,"High",IF(E90&gt;10,"Medium","Low"))</f>
        <v>High</v>
      </c>
      <c r="K90" t="str">
        <f>IF(F90&gt;90,"High",IF(F90&gt;75,"Medium","Low"))</f>
        <v>Low</v>
      </c>
      <c r="L90" t="str">
        <f>IF(G90="Declining","High","Low")</f>
        <v>High</v>
      </c>
      <c r="M90" t="str">
        <f>IF(H90&gt;=3,"High",IF(H90=1,"Medium","Low"))</f>
        <v>Medium</v>
      </c>
      <c r="N90">
        <f>IF(J90="high",2,IF(J90="Medium",1,0))</f>
        <v>2</v>
      </c>
      <c r="O90">
        <f>IF(K90="high",2,IF(K90="medium",1,0))</f>
        <v>0</v>
      </c>
      <c r="P90">
        <f>IF(L90="high",2,0)</f>
        <v>2</v>
      </c>
      <c r="Q90">
        <f>IF(M90="high",2,IF(M90="medium",1,0))</f>
        <v>1</v>
      </c>
      <c r="R90">
        <f>SUM(N90:Q90)</f>
        <v>5</v>
      </c>
      <c r="S90" t="str">
        <f>IF(R90&gt;=5,"High Risk",IF(R90&gt;=3, "Medium Risk", "Low Risk"))</f>
        <v>High Risk</v>
      </c>
    </row>
    <row r="91" spans="1:19" x14ac:dyDescent="0.25">
      <c r="A91" t="s">
        <v>134</v>
      </c>
      <c r="B91" t="s">
        <v>38</v>
      </c>
      <c r="C91" t="s">
        <v>42</v>
      </c>
      <c r="D91">
        <v>1145997</v>
      </c>
      <c r="E91">
        <v>32</v>
      </c>
      <c r="F91">
        <v>84</v>
      </c>
      <c r="G91" t="s">
        <v>68</v>
      </c>
      <c r="H91">
        <v>4</v>
      </c>
      <c r="I91" t="s">
        <v>23</v>
      </c>
      <c r="J91" t="str">
        <f>IF(E91&gt;30,"High",IF(E91&gt;10,"Medium","Low"))</f>
        <v>High</v>
      </c>
      <c r="K91" t="str">
        <f>IF(F91&gt;90,"High",IF(F91&gt;75,"Medium","Low"))</f>
        <v>Medium</v>
      </c>
      <c r="L91" t="str">
        <f>IF(G91="Declining","High","Low")</f>
        <v>Low</v>
      </c>
      <c r="M91" t="str">
        <f>IF(H91&gt;=3,"High",IF(H91=1,"Medium","Low"))</f>
        <v>High</v>
      </c>
      <c r="N91">
        <f>IF(J91="high",2,IF(J91="Medium",1,0))</f>
        <v>2</v>
      </c>
      <c r="O91">
        <f>IF(K91="high",2,IF(K91="medium",1,0))</f>
        <v>1</v>
      </c>
      <c r="P91">
        <f>IF(L91="high",2,0)</f>
        <v>0</v>
      </c>
      <c r="Q91">
        <f>IF(M91="high",2,IF(M91="medium",1,0))</f>
        <v>2</v>
      </c>
      <c r="R91">
        <f>SUM(N91:Q91)</f>
        <v>5</v>
      </c>
      <c r="S91" t="str">
        <f>IF(R91&gt;=5,"High Risk",IF(R91&gt;=3, "Medium Risk", "Low Risk"))</f>
        <v>High Risk</v>
      </c>
    </row>
    <row r="92" spans="1:19" x14ac:dyDescent="0.25">
      <c r="A92" t="s">
        <v>135</v>
      </c>
      <c r="B92" t="s">
        <v>38</v>
      </c>
      <c r="C92" t="s">
        <v>28</v>
      </c>
      <c r="D92">
        <v>596313</v>
      </c>
      <c r="E92">
        <v>20</v>
      </c>
      <c r="F92">
        <v>96</v>
      </c>
      <c r="G92" t="s">
        <v>22</v>
      </c>
      <c r="H92">
        <v>2</v>
      </c>
      <c r="I92" t="s">
        <v>35</v>
      </c>
      <c r="J92" t="str">
        <f>IF(E92&gt;30,"High",IF(E92&gt;10,"Medium","Low"))</f>
        <v>Medium</v>
      </c>
      <c r="K92" t="str">
        <f>IF(F92&gt;90,"High",IF(F92&gt;75,"Medium","Low"))</f>
        <v>High</v>
      </c>
      <c r="L92" t="str">
        <f>IF(G92="Declining","High","Low")</f>
        <v>High</v>
      </c>
      <c r="M92" t="str">
        <f>IF(H92&gt;=3,"High",IF(H92=1,"Medium","Low"))</f>
        <v>Low</v>
      </c>
      <c r="N92">
        <f>IF(J92="high",2,IF(J92="Medium",1,0))</f>
        <v>1</v>
      </c>
      <c r="O92">
        <f>IF(K92="high",2,IF(K92="medium",1,0))</f>
        <v>2</v>
      </c>
      <c r="P92">
        <f>IF(L92="high",2,0)</f>
        <v>2</v>
      </c>
      <c r="Q92">
        <f>IF(M92="high",2,IF(M92="medium",1,0))</f>
        <v>0</v>
      </c>
      <c r="R92">
        <f>SUM(N92:Q92)</f>
        <v>5</v>
      </c>
      <c r="S92" t="str">
        <f>IF(R92&gt;=5,"High Risk",IF(R92&gt;=3, "Medium Risk", "Low Risk"))</f>
        <v>High Risk</v>
      </c>
    </row>
    <row r="93" spans="1:19" x14ac:dyDescent="0.25">
      <c r="A93" t="s">
        <v>136</v>
      </c>
      <c r="B93" t="s">
        <v>31</v>
      </c>
      <c r="C93" t="s">
        <v>28</v>
      </c>
      <c r="D93">
        <v>57001</v>
      </c>
      <c r="E93">
        <v>17</v>
      </c>
      <c r="F93">
        <v>45</v>
      </c>
      <c r="G93" t="s">
        <v>22</v>
      </c>
      <c r="H93">
        <v>5</v>
      </c>
      <c r="I93" t="s">
        <v>23</v>
      </c>
      <c r="J93" t="str">
        <f>IF(E93&gt;30,"High",IF(E93&gt;10,"Medium","Low"))</f>
        <v>Medium</v>
      </c>
      <c r="K93" t="str">
        <f>IF(F93&gt;90,"High",IF(F93&gt;75,"Medium","Low"))</f>
        <v>Low</v>
      </c>
      <c r="L93" t="str">
        <f>IF(G93="Declining","High","Low")</f>
        <v>High</v>
      </c>
      <c r="M93" t="str">
        <f>IF(H93&gt;=3,"High",IF(H93=1,"Medium","Low"))</f>
        <v>High</v>
      </c>
      <c r="N93">
        <f>IF(J93="high",2,IF(J93="Medium",1,0))</f>
        <v>1</v>
      </c>
      <c r="O93">
        <f>IF(K93="high",2,IF(K93="medium",1,0))</f>
        <v>0</v>
      </c>
      <c r="P93">
        <f>IF(L93="high",2,0)</f>
        <v>2</v>
      </c>
      <c r="Q93">
        <f>IF(M93="high",2,IF(M93="medium",1,0))</f>
        <v>2</v>
      </c>
      <c r="R93">
        <f>SUM(N93:Q93)</f>
        <v>5</v>
      </c>
      <c r="S93" t="str">
        <f>IF(R93&gt;=5,"High Risk",IF(R93&gt;=3, "Medium Risk", "Low Risk"))</f>
        <v>High Risk</v>
      </c>
    </row>
    <row r="94" spans="1:19" x14ac:dyDescent="0.25">
      <c r="A94" t="s">
        <v>137</v>
      </c>
      <c r="B94" t="s">
        <v>48</v>
      </c>
      <c r="C94" t="s">
        <v>42</v>
      </c>
      <c r="D94">
        <v>688272</v>
      </c>
      <c r="E94">
        <v>11</v>
      </c>
      <c r="F94">
        <v>94</v>
      </c>
      <c r="G94" t="s">
        <v>56</v>
      </c>
      <c r="H94">
        <v>1</v>
      </c>
      <c r="I94" t="s">
        <v>24</v>
      </c>
      <c r="J94" t="str">
        <f>IF(E94&gt;30,"High",IF(E94&gt;10,"Medium","Low"))</f>
        <v>Medium</v>
      </c>
      <c r="K94" t="str">
        <f>IF(F94&gt;90,"High",IF(F94&gt;75,"Medium","Low"))</f>
        <v>High</v>
      </c>
      <c r="L94" t="str">
        <f>IF(G94="Declining","High","Low")</f>
        <v>Low</v>
      </c>
      <c r="M94" t="str">
        <f>IF(H94&gt;=3,"High",IF(H94=1,"Medium","Low"))</f>
        <v>Medium</v>
      </c>
      <c r="N94">
        <f>IF(J94="high",2,IF(J94="Medium",1,0))</f>
        <v>1</v>
      </c>
      <c r="O94">
        <f>IF(K94="high",2,IF(K94="medium",1,0))</f>
        <v>2</v>
      </c>
      <c r="P94">
        <f>IF(L94="high",2,0)</f>
        <v>0</v>
      </c>
      <c r="Q94">
        <f>IF(M94="high",2,IF(M94="medium",1,0))</f>
        <v>1</v>
      </c>
      <c r="R94">
        <f>SUM(N94:Q94)</f>
        <v>4</v>
      </c>
      <c r="S94" t="str">
        <f>IF(R94&gt;=5,"High Risk",IF(R94&gt;=3, "Medium Risk", "Low Risk"))</f>
        <v>Medium Risk</v>
      </c>
    </row>
    <row r="95" spans="1:19" x14ac:dyDescent="0.25">
      <c r="A95" t="s">
        <v>138</v>
      </c>
      <c r="B95" t="s">
        <v>31</v>
      </c>
      <c r="C95" t="s">
        <v>34</v>
      </c>
      <c r="D95">
        <v>1239589</v>
      </c>
      <c r="E95">
        <v>43</v>
      </c>
      <c r="F95">
        <v>70</v>
      </c>
      <c r="G95" t="s">
        <v>56</v>
      </c>
      <c r="H95">
        <v>3</v>
      </c>
      <c r="I95" t="s">
        <v>24</v>
      </c>
      <c r="J95" t="str">
        <f>IF(E95&gt;30,"High",IF(E95&gt;10,"Medium","Low"))</f>
        <v>High</v>
      </c>
      <c r="K95" t="str">
        <f>IF(F95&gt;90,"High",IF(F95&gt;75,"Medium","Low"))</f>
        <v>Low</v>
      </c>
      <c r="L95" t="str">
        <f>IF(G95="Declining","High","Low")</f>
        <v>Low</v>
      </c>
      <c r="M95" t="str">
        <f>IF(H95&gt;=3,"High",IF(H95=1,"Medium","Low"))</f>
        <v>High</v>
      </c>
      <c r="N95">
        <f>IF(J95="high",2,IF(J95="Medium",1,0))</f>
        <v>2</v>
      </c>
      <c r="O95">
        <f>IF(K95="high",2,IF(K95="medium",1,0))</f>
        <v>0</v>
      </c>
      <c r="P95">
        <f>IF(L95="high",2,0)</f>
        <v>0</v>
      </c>
      <c r="Q95">
        <f>IF(M95="high",2,IF(M95="medium",1,0))</f>
        <v>2</v>
      </c>
      <c r="R95">
        <f>SUM(N95:Q95)</f>
        <v>4</v>
      </c>
      <c r="S95" t="str">
        <f>IF(R95&gt;=5,"High Risk",IF(R95&gt;=3, "Medium Risk", "Low Risk"))</f>
        <v>Medium Risk</v>
      </c>
    </row>
    <row r="96" spans="1:19" x14ac:dyDescent="0.25">
      <c r="A96" t="s">
        <v>139</v>
      </c>
      <c r="B96" t="s">
        <v>48</v>
      </c>
      <c r="C96" t="s">
        <v>34</v>
      </c>
      <c r="D96">
        <v>471796</v>
      </c>
      <c r="E96">
        <v>57</v>
      </c>
      <c r="F96">
        <v>63</v>
      </c>
      <c r="G96" t="s">
        <v>56</v>
      </c>
      <c r="H96">
        <v>5</v>
      </c>
      <c r="I96" t="s">
        <v>24</v>
      </c>
      <c r="J96" t="str">
        <f>IF(E96&gt;30,"High",IF(E96&gt;10,"Medium","Low"))</f>
        <v>High</v>
      </c>
      <c r="K96" t="str">
        <f>IF(F96&gt;90,"High",IF(F96&gt;75,"Medium","Low"))</f>
        <v>Low</v>
      </c>
      <c r="L96" t="str">
        <f>IF(G96="Declining","High","Low")</f>
        <v>Low</v>
      </c>
      <c r="M96" t="str">
        <f>IF(H96&gt;=3,"High",IF(H96=1,"Medium","Low"))</f>
        <v>High</v>
      </c>
      <c r="N96">
        <f>IF(J96="high",2,IF(J96="Medium",1,0))</f>
        <v>2</v>
      </c>
      <c r="O96">
        <f>IF(K96="high",2,IF(K96="medium",1,0))</f>
        <v>0</v>
      </c>
      <c r="P96">
        <f>IF(L96="high",2,0)</f>
        <v>0</v>
      </c>
      <c r="Q96">
        <f>IF(M96="high",2,IF(M96="medium",1,0))</f>
        <v>2</v>
      </c>
      <c r="R96">
        <f>SUM(N96:Q96)</f>
        <v>4</v>
      </c>
      <c r="S96" t="str">
        <f>IF(R96&gt;=5,"High Risk",IF(R96&gt;=3, "Medium Risk", "Low Risk"))</f>
        <v>Medium Risk</v>
      </c>
    </row>
    <row r="97" spans="1:19" x14ac:dyDescent="0.25">
      <c r="A97" t="s">
        <v>140</v>
      </c>
      <c r="B97" t="s">
        <v>41</v>
      </c>
      <c r="C97" t="s">
        <v>54</v>
      </c>
      <c r="D97">
        <v>1061585</v>
      </c>
      <c r="E97">
        <v>60</v>
      </c>
      <c r="F97">
        <v>69</v>
      </c>
      <c r="G97" t="s">
        <v>22</v>
      </c>
      <c r="H97">
        <v>2</v>
      </c>
      <c r="I97" t="s">
        <v>23</v>
      </c>
      <c r="J97" t="str">
        <f>IF(E97&gt;30,"High",IF(E97&gt;10,"Medium","Low"))</f>
        <v>High</v>
      </c>
      <c r="K97" t="str">
        <f>IF(F97&gt;90,"High",IF(F97&gt;75,"Medium","Low"))</f>
        <v>Low</v>
      </c>
      <c r="L97" t="str">
        <f>IF(G97="Declining","High","Low")</f>
        <v>High</v>
      </c>
      <c r="M97" t="str">
        <f>IF(H97&gt;=3,"High",IF(H97=1,"Medium","Low"))</f>
        <v>Low</v>
      </c>
      <c r="N97">
        <f>IF(J97="high",2,IF(J97="Medium",1,0))</f>
        <v>2</v>
      </c>
      <c r="O97">
        <f>IF(K97="high",2,IF(K97="medium",1,0))</f>
        <v>0</v>
      </c>
      <c r="P97">
        <f>IF(L97="high",2,0)</f>
        <v>2</v>
      </c>
      <c r="Q97">
        <f>IF(M97="high",2,IF(M97="medium",1,0))</f>
        <v>0</v>
      </c>
      <c r="R97">
        <f>SUM(N97:Q97)</f>
        <v>4</v>
      </c>
      <c r="S97" t="str">
        <f>IF(R97&gt;=5,"High Risk",IF(R97&gt;=3, "Medium Risk", "Low Risk"))</f>
        <v>Medium Risk</v>
      </c>
    </row>
    <row r="98" spans="1:19" x14ac:dyDescent="0.25">
      <c r="A98" t="s">
        <v>141</v>
      </c>
      <c r="B98" t="s">
        <v>48</v>
      </c>
      <c r="C98" t="s">
        <v>42</v>
      </c>
      <c r="D98">
        <v>243852</v>
      </c>
      <c r="E98">
        <v>22</v>
      </c>
      <c r="F98">
        <v>88</v>
      </c>
      <c r="G98" t="s">
        <v>56</v>
      </c>
      <c r="H98">
        <v>3</v>
      </c>
      <c r="I98" t="s">
        <v>23</v>
      </c>
      <c r="J98" t="str">
        <f>IF(E98&gt;30,"High",IF(E98&gt;10,"Medium","Low"))</f>
        <v>Medium</v>
      </c>
      <c r="K98" t="str">
        <f>IF(F98&gt;90,"High",IF(F98&gt;75,"Medium","Low"))</f>
        <v>Medium</v>
      </c>
      <c r="L98" t="str">
        <f>IF(G98="Declining","High","Low")</f>
        <v>Low</v>
      </c>
      <c r="M98" t="str">
        <f>IF(H98&gt;=3,"High",IF(H98=1,"Medium","Low"))</f>
        <v>High</v>
      </c>
      <c r="N98">
        <f>IF(J98="high",2,IF(J98="Medium",1,0))</f>
        <v>1</v>
      </c>
      <c r="O98">
        <f>IF(K98="high",2,IF(K98="medium",1,0))</f>
        <v>1</v>
      </c>
      <c r="P98">
        <f>IF(L98="high",2,0)</f>
        <v>0</v>
      </c>
      <c r="Q98">
        <f>IF(M98="high",2,IF(M98="medium",1,0))</f>
        <v>2</v>
      </c>
      <c r="R98">
        <f>SUM(N98:Q98)</f>
        <v>4</v>
      </c>
      <c r="S98" t="str">
        <f>IF(R98&gt;=5,"High Risk",IF(R98&gt;=3, "Medium Risk", "Low Risk"))</f>
        <v>Medium Risk</v>
      </c>
    </row>
    <row r="99" spans="1:19" x14ac:dyDescent="0.25">
      <c r="A99" t="s">
        <v>142</v>
      </c>
      <c r="B99" t="s">
        <v>20</v>
      </c>
      <c r="C99" t="s">
        <v>28</v>
      </c>
      <c r="D99">
        <v>1341333</v>
      </c>
      <c r="E99">
        <v>1</v>
      </c>
      <c r="F99">
        <v>92</v>
      </c>
      <c r="G99" t="s">
        <v>56</v>
      </c>
      <c r="H99">
        <v>3</v>
      </c>
      <c r="I99" t="s">
        <v>35</v>
      </c>
      <c r="J99" t="str">
        <f>IF(E99&gt;30,"High",IF(E99&gt;10,"Medium","Low"))</f>
        <v>Low</v>
      </c>
      <c r="K99" t="str">
        <f>IF(F99&gt;90,"High",IF(F99&gt;75,"Medium","Low"))</f>
        <v>High</v>
      </c>
      <c r="L99" t="str">
        <f>IF(G99="Declining","High","Low")</f>
        <v>Low</v>
      </c>
      <c r="M99" t="str">
        <f>IF(H99&gt;=3,"High",IF(H99=1,"Medium","Low"))</f>
        <v>High</v>
      </c>
      <c r="N99">
        <f>IF(J99="high",2,IF(J99="Medium",1,0))</f>
        <v>0</v>
      </c>
      <c r="O99">
        <f>IF(K99="high",2,IF(K99="medium",1,0))</f>
        <v>2</v>
      </c>
      <c r="P99">
        <f>IF(L99="high",2,0)</f>
        <v>0</v>
      </c>
      <c r="Q99">
        <f>IF(M99="high",2,IF(M99="medium",1,0))</f>
        <v>2</v>
      </c>
      <c r="R99">
        <f>SUM(N99:Q99)</f>
        <v>4</v>
      </c>
      <c r="S99" t="str">
        <f>IF(R99&gt;=5,"High Risk",IF(R99&gt;=3, "Medium Risk", "Low Risk"))</f>
        <v>Medium Risk</v>
      </c>
    </row>
    <row r="100" spans="1:19" x14ac:dyDescent="0.25">
      <c r="A100" t="s">
        <v>143</v>
      </c>
      <c r="B100" t="s">
        <v>38</v>
      </c>
      <c r="C100" t="s">
        <v>21</v>
      </c>
      <c r="D100">
        <v>1495951</v>
      </c>
      <c r="E100">
        <v>8</v>
      </c>
      <c r="F100">
        <v>85</v>
      </c>
      <c r="G100" t="s">
        <v>22</v>
      </c>
      <c r="H100">
        <v>1</v>
      </c>
      <c r="I100" t="s">
        <v>23</v>
      </c>
      <c r="J100" t="str">
        <f>IF(E100&gt;30,"High",IF(E100&gt;10,"Medium","Low"))</f>
        <v>Low</v>
      </c>
      <c r="K100" t="str">
        <f>IF(F100&gt;90,"High",IF(F100&gt;75,"Medium","Low"))</f>
        <v>Medium</v>
      </c>
      <c r="L100" t="str">
        <f>IF(G100="Declining","High","Low")</f>
        <v>High</v>
      </c>
      <c r="M100" t="str">
        <f>IF(H100&gt;=3,"High",IF(H100=1,"Medium","Low"))</f>
        <v>Medium</v>
      </c>
      <c r="N100">
        <f>IF(J100="high",2,IF(J100="Medium",1,0))</f>
        <v>0</v>
      </c>
      <c r="O100">
        <f>IF(K100="high",2,IF(K100="medium",1,0))</f>
        <v>1</v>
      </c>
      <c r="P100">
        <f>IF(L100="high",2,0)</f>
        <v>2</v>
      </c>
      <c r="Q100">
        <f>IF(M100="high",2,IF(M100="medium",1,0))</f>
        <v>1</v>
      </c>
      <c r="R100">
        <f>SUM(N100:Q100)</f>
        <v>4</v>
      </c>
      <c r="S100" t="str">
        <f>IF(R100&gt;=5,"High Risk",IF(R100&gt;=3, "Medium Risk", "Low Risk"))</f>
        <v>Medium Risk</v>
      </c>
    </row>
    <row r="101" spans="1:19" x14ac:dyDescent="0.25">
      <c r="A101" t="s">
        <v>144</v>
      </c>
      <c r="B101" t="s">
        <v>20</v>
      </c>
      <c r="C101" t="s">
        <v>34</v>
      </c>
      <c r="D101">
        <v>1191411</v>
      </c>
      <c r="E101">
        <v>36</v>
      </c>
      <c r="F101">
        <v>98</v>
      </c>
      <c r="G101" t="s">
        <v>56</v>
      </c>
      <c r="H101">
        <v>0</v>
      </c>
      <c r="I101" t="s">
        <v>24</v>
      </c>
      <c r="J101" t="str">
        <f>IF(E101&gt;30,"High",IF(E101&gt;10,"Medium","Low"))</f>
        <v>High</v>
      </c>
      <c r="K101" t="str">
        <f>IF(F101&gt;90,"High",IF(F101&gt;75,"Medium","Low"))</f>
        <v>High</v>
      </c>
      <c r="L101" t="str">
        <f>IF(G101="Declining","High","Low")</f>
        <v>Low</v>
      </c>
      <c r="M101" t="str">
        <f>IF(H101&gt;=3,"High",IF(H101=1,"Medium","Low"))</f>
        <v>Low</v>
      </c>
      <c r="N101">
        <f>IF(J101="high",2,IF(J101="Medium",1,0))</f>
        <v>2</v>
      </c>
      <c r="O101">
        <f>IF(K101="high",2,IF(K101="medium",1,0))</f>
        <v>2</v>
      </c>
      <c r="P101">
        <f>IF(L101="high",2,0)</f>
        <v>0</v>
      </c>
      <c r="Q101">
        <f>IF(M101="high",2,IF(M101="medium",1,0))</f>
        <v>0</v>
      </c>
      <c r="R101">
        <f>SUM(N101:Q101)</f>
        <v>4</v>
      </c>
      <c r="S101" t="str">
        <f>IF(R101&gt;=5,"High Risk",IF(R101&gt;=3, "Medium Risk", "Low Risk"))</f>
        <v>Medium Risk</v>
      </c>
    </row>
    <row r="102" spans="1:19" x14ac:dyDescent="0.25">
      <c r="A102" t="s">
        <v>145</v>
      </c>
      <c r="B102" t="s">
        <v>48</v>
      </c>
      <c r="C102" t="s">
        <v>54</v>
      </c>
      <c r="D102">
        <v>603142</v>
      </c>
      <c r="E102">
        <v>50</v>
      </c>
      <c r="F102">
        <v>51</v>
      </c>
      <c r="G102" t="s">
        <v>56</v>
      </c>
      <c r="H102">
        <v>3</v>
      </c>
      <c r="I102" t="s">
        <v>23</v>
      </c>
      <c r="J102" t="str">
        <f>IF(E102&gt;30,"High",IF(E102&gt;10,"Medium","Low"))</f>
        <v>High</v>
      </c>
      <c r="K102" t="str">
        <f>IF(F102&gt;90,"High",IF(F102&gt;75,"Medium","Low"))</f>
        <v>Low</v>
      </c>
      <c r="L102" t="str">
        <f>IF(G102="Declining","High","Low")</f>
        <v>Low</v>
      </c>
      <c r="M102" t="str">
        <f>IF(H102&gt;=3,"High",IF(H102=1,"Medium","Low"))</f>
        <v>High</v>
      </c>
      <c r="N102">
        <f>IF(J102="high",2,IF(J102="Medium",1,0))</f>
        <v>2</v>
      </c>
      <c r="O102">
        <f>IF(K102="high",2,IF(K102="medium",1,0))</f>
        <v>0</v>
      </c>
      <c r="P102">
        <f>IF(L102="high",2,0)</f>
        <v>0</v>
      </c>
      <c r="Q102">
        <f>IF(M102="high",2,IF(M102="medium",1,0))</f>
        <v>2</v>
      </c>
      <c r="R102">
        <f>SUM(N102:Q102)</f>
        <v>4</v>
      </c>
      <c r="S102" t="str">
        <f>IF(R102&gt;=5,"High Risk",IF(R102&gt;=3, "Medium Risk", "Low Risk"))</f>
        <v>Medium Risk</v>
      </c>
    </row>
    <row r="103" spans="1:19" x14ac:dyDescent="0.25">
      <c r="A103" t="s">
        <v>146</v>
      </c>
      <c r="B103" t="s">
        <v>48</v>
      </c>
      <c r="C103" t="s">
        <v>54</v>
      </c>
      <c r="D103">
        <v>840018</v>
      </c>
      <c r="E103">
        <v>9</v>
      </c>
      <c r="F103">
        <v>56</v>
      </c>
      <c r="G103" t="s">
        <v>22</v>
      </c>
      <c r="H103">
        <v>4</v>
      </c>
      <c r="I103" t="s">
        <v>35</v>
      </c>
      <c r="J103" t="str">
        <f>IF(E103&gt;30,"High",IF(E103&gt;10,"Medium","Low"))</f>
        <v>Low</v>
      </c>
      <c r="K103" t="str">
        <f>IF(F103&gt;90,"High",IF(F103&gt;75,"Medium","Low"))</f>
        <v>Low</v>
      </c>
      <c r="L103" t="str">
        <f>IF(G103="Declining","High","Low")</f>
        <v>High</v>
      </c>
      <c r="M103" t="str">
        <f>IF(H103&gt;=3,"High",IF(H103=1,"Medium","Low"))</f>
        <v>High</v>
      </c>
      <c r="N103">
        <f>IF(J103="high",2,IF(J103="Medium",1,0))</f>
        <v>0</v>
      </c>
      <c r="O103">
        <f>IF(K103="high",2,IF(K103="medium",1,0))</f>
        <v>0</v>
      </c>
      <c r="P103">
        <f>IF(L103="high",2,0)</f>
        <v>2</v>
      </c>
      <c r="Q103">
        <f>IF(M103="high",2,IF(M103="medium",1,0))</f>
        <v>2</v>
      </c>
      <c r="R103">
        <f>SUM(N103:Q103)</f>
        <v>4</v>
      </c>
      <c r="S103" t="str">
        <f>IF(R103&gt;=5,"High Risk",IF(R103&gt;=3, "Medium Risk", "Low Risk"))</f>
        <v>Medium Risk</v>
      </c>
    </row>
    <row r="104" spans="1:19" x14ac:dyDescent="0.25">
      <c r="A104" t="s">
        <v>147</v>
      </c>
      <c r="B104" t="s">
        <v>20</v>
      </c>
      <c r="C104" t="s">
        <v>28</v>
      </c>
      <c r="D104">
        <v>275359</v>
      </c>
      <c r="E104">
        <v>31</v>
      </c>
      <c r="F104">
        <v>72</v>
      </c>
      <c r="G104" t="s">
        <v>68</v>
      </c>
      <c r="H104">
        <v>4</v>
      </c>
      <c r="I104" t="s">
        <v>35</v>
      </c>
      <c r="J104" t="str">
        <f>IF(E104&gt;30,"High",IF(E104&gt;10,"Medium","Low"))</f>
        <v>High</v>
      </c>
      <c r="K104" t="str">
        <f>IF(F104&gt;90,"High",IF(F104&gt;75,"Medium","Low"))</f>
        <v>Low</v>
      </c>
      <c r="L104" t="str">
        <f>IF(G104="Declining","High","Low")</f>
        <v>Low</v>
      </c>
      <c r="M104" t="str">
        <f>IF(H104&gt;=3,"High",IF(H104=1,"Medium","Low"))</f>
        <v>High</v>
      </c>
      <c r="N104">
        <f>IF(J104="high",2,IF(J104="Medium",1,0))</f>
        <v>2</v>
      </c>
      <c r="O104">
        <f>IF(K104="high",2,IF(K104="medium",1,0))</f>
        <v>0</v>
      </c>
      <c r="P104">
        <f>IF(L104="high",2,0)</f>
        <v>0</v>
      </c>
      <c r="Q104">
        <f>IF(M104="high",2,IF(M104="medium",1,0))</f>
        <v>2</v>
      </c>
      <c r="R104">
        <f>SUM(N104:Q104)</f>
        <v>4</v>
      </c>
      <c r="S104" t="str">
        <f>IF(R104&gt;=5,"High Risk",IF(R104&gt;=3, "Medium Risk", "Low Risk"))</f>
        <v>Medium Risk</v>
      </c>
    </row>
    <row r="105" spans="1:19" x14ac:dyDescent="0.25">
      <c r="A105" t="s">
        <v>148</v>
      </c>
      <c r="B105" t="s">
        <v>48</v>
      </c>
      <c r="C105" t="s">
        <v>54</v>
      </c>
      <c r="D105">
        <v>714437</v>
      </c>
      <c r="E105">
        <v>31</v>
      </c>
      <c r="F105">
        <v>59</v>
      </c>
      <c r="G105" t="s">
        <v>22</v>
      </c>
      <c r="H105">
        <v>0</v>
      </c>
      <c r="I105" t="s">
        <v>35</v>
      </c>
      <c r="J105" t="str">
        <f>IF(E105&gt;30,"High",IF(E105&gt;10,"Medium","Low"))</f>
        <v>High</v>
      </c>
      <c r="K105" t="str">
        <f>IF(F105&gt;90,"High",IF(F105&gt;75,"Medium","Low"))</f>
        <v>Low</v>
      </c>
      <c r="L105" t="str">
        <f>IF(G105="Declining","High","Low")</f>
        <v>High</v>
      </c>
      <c r="M105" t="str">
        <f>IF(H105&gt;=3,"High",IF(H105=1,"Medium","Low"))</f>
        <v>Low</v>
      </c>
      <c r="N105">
        <f>IF(J105="high",2,IF(J105="Medium",1,0))</f>
        <v>2</v>
      </c>
      <c r="O105">
        <f>IF(K105="high",2,IF(K105="medium",1,0))</f>
        <v>0</v>
      </c>
      <c r="P105">
        <f>IF(L105="high",2,0)</f>
        <v>2</v>
      </c>
      <c r="Q105">
        <f>IF(M105="high",2,IF(M105="medium",1,0))</f>
        <v>0</v>
      </c>
      <c r="R105">
        <f>SUM(N105:Q105)</f>
        <v>4</v>
      </c>
      <c r="S105" t="str">
        <f>IF(R105&gt;=5,"High Risk",IF(R105&gt;=3, "Medium Risk", "Low Risk"))</f>
        <v>Medium Risk</v>
      </c>
    </row>
    <row r="106" spans="1:19" x14ac:dyDescent="0.25">
      <c r="A106" t="s">
        <v>149</v>
      </c>
      <c r="B106" t="s">
        <v>38</v>
      </c>
      <c r="C106" t="s">
        <v>42</v>
      </c>
      <c r="D106">
        <v>1209149</v>
      </c>
      <c r="E106">
        <v>58</v>
      </c>
      <c r="F106">
        <v>75</v>
      </c>
      <c r="G106" t="s">
        <v>68</v>
      </c>
      <c r="H106">
        <v>4</v>
      </c>
      <c r="I106" t="s">
        <v>35</v>
      </c>
      <c r="J106" t="str">
        <f>IF(E106&gt;30,"High",IF(E106&gt;10,"Medium","Low"))</f>
        <v>High</v>
      </c>
      <c r="K106" t="str">
        <f>IF(F106&gt;90,"High",IF(F106&gt;75,"Medium","Low"))</f>
        <v>Low</v>
      </c>
      <c r="L106" t="str">
        <f>IF(G106="Declining","High","Low")</f>
        <v>Low</v>
      </c>
      <c r="M106" t="str">
        <f>IF(H106&gt;=3,"High",IF(H106=1,"Medium","Low"))</f>
        <v>High</v>
      </c>
      <c r="N106">
        <f>IF(J106="high",2,IF(J106="Medium",1,0))</f>
        <v>2</v>
      </c>
      <c r="O106">
        <f>IF(K106="high",2,IF(K106="medium",1,0))</f>
        <v>0</v>
      </c>
      <c r="P106">
        <f>IF(L106="high",2,0)</f>
        <v>0</v>
      </c>
      <c r="Q106">
        <f>IF(M106="high",2,IF(M106="medium",1,0))</f>
        <v>2</v>
      </c>
      <c r="R106">
        <f>SUM(N106:Q106)</f>
        <v>4</v>
      </c>
      <c r="S106" t="str">
        <f>IF(R106&gt;=5,"High Risk",IF(R106&gt;=3, "Medium Risk", "Low Risk"))</f>
        <v>Medium Risk</v>
      </c>
    </row>
    <row r="107" spans="1:19" x14ac:dyDescent="0.25">
      <c r="A107" t="s">
        <v>150</v>
      </c>
      <c r="B107" t="s">
        <v>41</v>
      </c>
      <c r="C107" t="s">
        <v>42</v>
      </c>
      <c r="D107">
        <v>237309</v>
      </c>
      <c r="E107">
        <v>25</v>
      </c>
      <c r="F107">
        <v>81</v>
      </c>
      <c r="G107" t="s">
        <v>68</v>
      </c>
      <c r="H107">
        <v>3</v>
      </c>
      <c r="I107" t="s">
        <v>24</v>
      </c>
      <c r="J107" t="str">
        <f>IF(E107&gt;30,"High",IF(E107&gt;10,"Medium","Low"))</f>
        <v>Medium</v>
      </c>
      <c r="K107" t="str">
        <f>IF(F107&gt;90,"High",IF(F107&gt;75,"Medium","Low"))</f>
        <v>Medium</v>
      </c>
      <c r="L107" t="str">
        <f>IF(G107="Declining","High","Low")</f>
        <v>Low</v>
      </c>
      <c r="M107" t="str">
        <f>IF(H107&gt;=3,"High",IF(H107=1,"Medium","Low"))</f>
        <v>High</v>
      </c>
      <c r="N107">
        <f>IF(J107="high",2,IF(J107="Medium",1,0))</f>
        <v>1</v>
      </c>
      <c r="O107">
        <f>IF(K107="high",2,IF(K107="medium",1,0))</f>
        <v>1</v>
      </c>
      <c r="P107">
        <f>IF(L107="high",2,0)</f>
        <v>0</v>
      </c>
      <c r="Q107">
        <f>IF(M107="high",2,IF(M107="medium",1,0))</f>
        <v>2</v>
      </c>
      <c r="R107">
        <f>SUM(N107:Q107)</f>
        <v>4</v>
      </c>
      <c r="S107" t="str">
        <f>IF(R107&gt;=5,"High Risk",IF(R107&gt;=3, "Medium Risk", "Low Risk"))</f>
        <v>Medium Risk</v>
      </c>
    </row>
    <row r="108" spans="1:19" x14ac:dyDescent="0.25">
      <c r="A108" t="s">
        <v>151</v>
      </c>
      <c r="B108" t="s">
        <v>20</v>
      </c>
      <c r="C108" t="s">
        <v>42</v>
      </c>
      <c r="D108">
        <v>299926</v>
      </c>
      <c r="E108">
        <v>55</v>
      </c>
      <c r="F108">
        <v>57</v>
      </c>
      <c r="G108" t="s">
        <v>56</v>
      </c>
      <c r="H108">
        <v>5</v>
      </c>
      <c r="I108" t="s">
        <v>35</v>
      </c>
      <c r="J108" t="str">
        <f>IF(E108&gt;30,"High",IF(E108&gt;10,"Medium","Low"))</f>
        <v>High</v>
      </c>
      <c r="K108" t="str">
        <f>IF(F108&gt;90,"High",IF(F108&gt;75,"Medium","Low"))</f>
        <v>Low</v>
      </c>
      <c r="L108" t="str">
        <f>IF(G108="Declining","High","Low")</f>
        <v>Low</v>
      </c>
      <c r="M108" t="str">
        <f>IF(H108&gt;=3,"High",IF(H108=1,"Medium","Low"))</f>
        <v>High</v>
      </c>
      <c r="N108">
        <f>IF(J108="high",2,IF(J108="Medium",1,0))</f>
        <v>2</v>
      </c>
      <c r="O108">
        <f>IF(K108="high",2,IF(K108="medium",1,0))</f>
        <v>0</v>
      </c>
      <c r="P108">
        <f>IF(L108="high",2,0)</f>
        <v>0</v>
      </c>
      <c r="Q108">
        <f>IF(M108="high",2,IF(M108="medium",1,0))</f>
        <v>2</v>
      </c>
      <c r="R108">
        <f>SUM(N108:Q108)</f>
        <v>4</v>
      </c>
      <c r="S108" t="str">
        <f>IF(R108&gt;=5,"High Risk",IF(R108&gt;=3, "Medium Risk", "Low Risk"))</f>
        <v>Medium Risk</v>
      </c>
    </row>
    <row r="109" spans="1:19" x14ac:dyDescent="0.25">
      <c r="A109" t="s">
        <v>152</v>
      </c>
      <c r="B109" t="s">
        <v>38</v>
      </c>
      <c r="C109" t="s">
        <v>21</v>
      </c>
      <c r="D109">
        <v>1298825</v>
      </c>
      <c r="E109">
        <v>36</v>
      </c>
      <c r="F109">
        <v>58</v>
      </c>
      <c r="G109" t="s">
        <v>22</v>
      </c>
      <c r="H109">
        <v>2</v>
      </c>
      <c r="I109" t="s">
        <v>23</v>
      </c>
      <c r="J109" t="str">
        <f>IF(E109&gt;30,"High",IF(E109&gt;10,"Medium","Low"))</f>
        <v>High</v>
      </c>
      <c r="K109" t="str">
        <f>IF(F109&gt;90,"High",IF(F109&gt;75,"Medium","Low"))</f>
        <v>Low</v>
      </c>
      <c r="L109" t="str">
        <f>IF(G109="Declining","High","Low")</f>
        <v>High</v>
      </c>
      <c r="M109" t="str">
        <f>IF(H109&gt;=3,"High",IF(H109=1,"Medium","Low"))</f>
        <v>Low</v>
      </c>
      <c r="N109">
        <f>IF(J109="high",2,IF(J109="Medium",1,0))</f>
        <v>2</v>
      </c>
      <c r="O109">
        <f>IF(K109="high",2,IF(K109="medium",1,0))</f>
        <v>0</v>
      </c>
      <c r="P109">
        <f>IF(L109="high",2,0)</f>
        <v>2</v>
      </c>
      <c r="Q109">
        <f>IF(M109="high",2,IF(M109="medium",1,0))</f>
        <v>0</v>
      </c>
      <c r="R109">
        <f>SUM(N109:Q109)</f>
        <v>4</v>
      </c>
      <c r="S109" t="str">
        <f>IF(R109&gt;=5,"High Risk",IF(R109&gt;=3, "Medium Risk", "Low Risk"))</f>
        <v>Medium Risk</v>
      </c>
    </row>
    <row r="110" spans="1:19" x14ac:dyDescent="0.25">
      <c r="A110" t="s">
        <v>153</v>
      </c>
      <c r="B110" t="s">
        <v>41</v>
      </c>
      <c r="C110" t="s">
        <v>42</v>
      </c>
      <c r="D110">
        <v>421822</v>
      </c>
      <c r="E110">
        <v>52</v>
      </c>
      <c r="F110">
        <v>50</v>
      </c>
      <c r="G110" t="s">
        <v>68</v>
      </c>
      <c r="H110">
        <v>3</v>
      </c>
      <c r="I110" t="s">
        <v>23</v>
      </c>
      <c r="J110" t="str">
        <f>IF(E110&gt;30,"High",IF(E110&gt;10,"Medium","Low"))</f>
        <v>High</v>
      </c>
      <c r="K110" t="str">
        <f>IF(F110&gt;90,"High",IF(F110&gt;75,"Medium","Low"))</f>
        <v>Low</v>
      </c>
      <c r="L110" t="str">
        <f>IF(G110="Declining","High","Low")</f>
        <v>Low</v>
      </c>
      <c r="M110" t="str">
        <f>IF(H110&gt;=3,"High",IF(H110=1,"Medium","Low"))</f>
        <v>High</v>
      </c>
      <c r="N110">
        <f>IF(J110="high",2,IF(J110="Medium",1,0))</f>
        <v>2</v>
      </c>
      <c r="O110">
        <f>IF(K110="high",2,IF(K110="medium",1,0))</f>
        <v>0</v>
      </c>
      <c r="P110">
        <f>IF(L110="high",2,0)</f>
        <v>0</v>
      </c>
      <c r="Q110">
        <f>IF(M110="high",2,IF(M110="medium",1,0))</f>
        <v>2</v>
      </c>
      <c r="R110">
        <f>SUM(N110:Q110)</f>
        <v>4</v>
      </c>
      <c r="S110" t="str">
        <f>IF(R110&gt;=5,"High Risk",IF(R110&gt;=3, "Medium Risk", "Low Risk"))</f>
        <v>Medium Risk</v>
      </c>
    </row>
    <row r="111" spans="1:19" x14ac:dyDescent="0.25">
      <c r="A111" t="s">
        <v>154</v>
      </c>
      <c r="B111" t="s">
        <v>41</v>
      </c>
      <c r="C111" t="s">
        <v>54</v>
      </c>
      <c r="D111">
        <v>1387597</v>
      </c>
      <c r="E111">
        <v>49</v>
      </c>
      <c r="F111">
        <v>40</v>
      </c>
      <c r="G111" t="s">
        <v>22</v>
      </c>
      <c r="H111">
        <v>0</v>
      </c>
      <c r="I111" t="s">
        <v>24</v>
      </c>
      <c r="J111" t="str">
        <f>IF(E111&gt;30,"High",IF(E111&gt;10,"Medium","Low"))</f>
        <v>High</v>
      </c>
      <c r="K111" t="str">
        <f>IF(F111&gt;90,"High",IF(F111&gt;75,"Medium","Low"))</f>
        <v>Low</v>
      </c>
      <c r="L111" t="str">
        <f>IF(G111="Declining","High","Low")</f>
        <v>High</v>
      </c>
      <c r="M111" t="str">
        <f>IF(H111&gt;=3,"High",IF(H111=1,"Medium","Low"))</f>
        <v>Low</v>
      </c>
      <c r="N111">
        <f>IF(J111="high",2,IF(J111="Medium",1,0))</f>
        <v>2</v>
      </c>
      <c r="O111">
        <f>IF(K111="high",2,IF(K111="medium",1,0))</f>
        <v>0</v>
      </c>
      <c r="P111">
        <f>IF(L111="high",2,0)</f>
        <v>2</v>
      </c>
      <c r="Q111">
        <f>IF(M111="high",2,IF(M111="medium",1,0))</f>
        <v>0</v>
      </c>
      <c r="R111">
        <f>SUM(N111:Q111)</f>
        <v>4</v>
      </c>
      <c r="S111" t="str">
        <f>IF(R111&gt;=5,"High Risk",IF(R111&gt;=3, "Medium Risk", "Low Risk"))</f>
        <v>Medium Risk</v>
      </c>
    </row>
    <row r="112" spans="1:19" x14ac:dyDescent="0.25">
      <c r="A112" t="s">
        <v>155</v>
      </c>
      <c r="B112" t="s">
        <v>20</v>
      </c>
      <c r="C112" t="s">
        <v>42</v>
      </c>
      <c r="D112">
        <v>1086774</v>
      </c>
      <c r="E112">
        <v>44</v>
      </c>
      <c r="F112">
        <v>56</v>
      </c>
      <c r="G112" t="s">
        <v>56</v>
      </c>
      <c r="H112">
        <v>4</v>
      </c>
      <c r="I112" t="s">
        <v>35</v>
      </c>
      <c r="J112" t="str">
        <f>IF(E112&gt;30,"High",IF(E112&gt;10,"Medium","Low"))</f>
        <v>High</v>
      </c>
      <c r="K112" t="str">
        <f>IF(F112&gt;90,"High",IF(F112&gt;75,"Medium","Low"))</f>
        <v>Low</v>
      </c>
      <c r="L112" t="str">
        <f>IF(G112="Declining","High","Low")</f>
        <v>Low</v>
      </c>
      <c r="M112" t="str">
        <f>IF(H112&gt;=3,"High",IF(H112=1,"Medium","Low"))</f>
        <v>High</v>
      </c>
      <c r="N112">
        <f>IF(J112="high",2,IF(J112="Medium",1,0))</f>
        <v>2</v>
      </c>
      <c r="O112">
        <f>IF(K112="high",2,IF(K112="medium",1,0))</f>
        <v>0</v>
      </c>
      <c r="P112">
        <f>IF(L112="high",2,0)</f>
        <v>0</v>
      </c>
      <c r="Q112">
        <f>IF(M112="high",2,IF(M112="medium",1,0))</f>
        <v>2</v>
      </c>
      <c r="R112">
        <f>SUM(N112:Q112)</f>
        <v>4</v>
      </c>
      <c r="S112" t="str">
        <f>IF(R112&gt;=5,"High Risk",IF(R112&gt;=3, "Medium Risk", "Low Risk"))</f>
        <v>Medium Risk</v>
      </c>
    </row>
    <row r="113" spans="1:19" x14ac:dyDescent="0.25">
      <c r="A113" t="s">
        <v>156</v>
      </c>
      <c r="B113" t="s">
        <v>38</v>
      </c>
      <c r="C113" t="s">
        <v>21</v>
      </c>
      <c r="D113">
        <v>1472155</v>
      </c>
      <c r="E113">
        <v>34</v>
      </c>
      <c r="F113">
        <v>86</v>
      </c>
      <c r="G113" t="s">
        <v>56</v>
      </c>
      <c r="H113">
        <v>1</v>
      </c>
      <c r="I113" t="s">
        <v>23</v>
      </c>
      <c r="J113" t="str">
        <f>IF(E113&gt;30,"High",IF(E113&gt;10,"Medium","Low"))</f>
        <v>High</v>
      </c>
      <c r="K113" t="str">
        <f>IF(F113&gt;90,"High",IF(F113&gt;75,"Medium","Low"))</f>
        <v>Medium</v>
      </c>
      <c r="L113" t="str">
        <f>IF(G113="Declining","High","Low")</f>
        <v>Low</v>
      </c>
      <c r="M113" t="str">
        <f>IF(H113&gt;=3,"High",IF(H113=1,"Medium","Low"))</f>
        <v>Medium</v>
      </c>
      <c r="N113">
        <f>IF(J113="high",2,IF(J113="Medium",1,0))</f>
        <v>2</v>
      </c>
      <c r="O113">
        <f>IF(K113="high",2,IF(K113="medium",1,0))</f>
        <v>1</v>
      </c>
      <c r="P113">
        <f>IF(L113="high",2,0)</f>
        <v>0</v>
      </c>
      <c r="Q113">
        <f>IF(M113="high",2,IF(M113="medium",1,0))</f>
        <v>1</v>
      </c>
      <c r="R113">
        <f>SUM(N113:Q113)</f>
        <v>4</v>
      </c>
      <c r="S113" t="str">
        <f>IF(R113&gt;=5,"High Risk",IF(R113&gt;=3, "Medium Risk", "Low Risk"))</f>
        <v>Medium Risk</v>
      </c>
    </row>
    <row r="114" spans="1:19" x14ac:dyDescent="0.25">
      <c r="A114" t="s">
        <v>157</v>
      </c>
      <c r="B114" t="s">
        <v>41</v>
      </c>
      <c r="C114" t="s">
        <v>42</v>
      </c>
      <c r="D114">
        <v>644832</v>
      </c>
      <c r="E114">
        <v>51</v>
      </c>
      <c r="F114">
        <v>47</v>
      </c>
      <c r="G114" t="s">
        <v>68</v>
      </c>
      <c r="H114">
        <v>3</v>
      </c>
      <c r="I114" t="s">
        <v>24</v>
      </c>
      <c r="J114" t="str">
        <f>IF(E114&gt;30,"High",IF(E114&gt;10,"Medium","Low"))</f>
        <v>High</v>
      </c>
      <c r="K114" t="str">
        <f>IF(F114&gt;90,"High",IF(F114&gt;75,"Medium","Low"))</f>
        <v>Low</v>
      </c>
      <c r="L114" t="str">
        <f>IF(G114="Declining","High","Low")</f>
        <v>Low</v>
      </c>
      <c r="M114" t="str">
        <f>IF(H114&gt;=3,"High",IF(H114=1,"Medium","Low"))</f>
        <v>High</v>
      </c>
      <c r="N114">
        <f>IF(J114="high",2,IF(J114="Medium",1,0))</f>
        <v>2</v>
      </c>
      <c r="O114">
        <f>IF(K114="high",2,IF(K114="medium",1,0))</f>
        <v>0</v>
      </c>
      <c r="P114">
        <f>IF(L114="high",2,0)</f>
        <v>0</v>
      </c>
      <c r="Q114">
        <f>IF(M114="high",2,IF(M114="medium",1,0))</f>
        <v>2</v>
      </c>
      <c r="R114">
        <f>SUM(N114:Q114)</f>
        <v>4</v>
      </c>
      <c r="S114" t="str">
        <f>IF(R114&gt;=5,"High Risk",IF(R114&gt;=3, "Medium Risk", "Low Risk"))</f>
        <v>Medium Risk</v>
      </c>
    </row>
    <row r="115" spans="1:19" x14ac:dyDescent="0.25">
      <c r="A115" t="s">
        <v>158</v>
      </c>
      <c r="B115" t="s">
        <v>48</v>
      </c>
      <c r="C115" t="s">
        <v>42</v>
      </c>
      <c r="D115">
        <v>200206</v>
      </c>
      <c r="E115">
        <v>49</v>
      </c>
      <c r="F115">
        <v>55</v>
      </c>
      <c r="G115" t="s">
        <v>68</v>
      </c>
      <c r="H115">
        <v>4</v>
      </c>
      <c r="I115" t="s">
        <v>23</v>
      </c>
      <c r="J115" t="str">
        <f>IF(E115&gt;30,"High",IF(E115&gt;10,"Medium","Low"))</f>
        <v>High</v>
      </c>
      <c r="K115" t="str">
        <f>IF(F115&gt;90,"High",IF(F115&gt;75,"Medium","Low"))</f>
        <v>Low</v>
      </c>
      <c r="L115" t="str">
        <f>IF(G115="Declining","High","Low")</f>
        <v>Low</v>
      </c>
      <c r="M115" t="str">
        <f>IF(H115&gt;=3,"High",IF(H115=1,"Medium","Low"))</f>
        <v>High</v>
      </c>
      <c r="N115">
        <f>IF(J115="high",2,IF(J115="Medium",1,0))</f>
        <v>2</v>
      </c>
      <c r="O115">
        <f>IF(K115="high",2,IF(K115="medium",1,0))</f>
        <v>0</v>
      </c>
      <c r="P115">
        <f>IF(L115="high",2,0)</f>
        <v>0</v>
      </c>
      <c r="Q115">
        <f>IF(M115="high",2,IF(M115="medium",1,0))</f>
        <v>2</v>
      </c>
      <c r="R115">
        <f>SUM(N115:Q115)</f>
        <v>4</v>
      </c>
      <c r="S115" t="str">
        <f>IF(R115&gt;=5,"High Risk",IF(R115&gt;=3, "Medium Risk", "Low Risk"))</f>
        <v>Medium Risk</v>
      </c>
    </row>
    <row r="116" spans="1:19" x14ac:dyDescent="0.25">
      <c r="A116" t="s">
        <v>159</v>
      </c>
      <c r="B116" t="s">
        <v>20</v>
      </c>
      <c r="C116" t="s">
        <v>34</v>
      </c>
      <c r="D116">
        <v>924916</v>
      </c>
      <c r="E116">
        <v>39</v>
      </c>
      <c r="F116">
        <v>94</v>
      </c>
      <c r="G116" t="s">
        <v>68</v>
      </c>
      <c r="H116">
        <v>2</v>
      </c>
      <c r="I116" t="s">
        <v>23</v>
      </c>
      <c r="J116" t="str">
        <f>IF(E116&gt;30,"High",IF(E116&gt;10,"Medium","Low"))</f>
        <v>High</v>
      </c>
      <c r="K116" t="str">
        <f>IF(F116&gt;90,"High",IF(F116&gt;75,"Medium","Low"))</f>
        <v>High</v>
      </c>
      <c r="L116" t="str">
        <f>IF(G116="Declining","High","Low")</f>
        <v>Low</v>
      </c>
      <c r="M116" t="str">
        <f>IF(H116&gt;=3,"High",IF(H116=1,"Medium","Low"))</f>
        <v>Low</v>
      </c>
      <c r="N116">
        <f>IF(J116="high",2,IF(J116="Medium",1,0))</f>
        <v>2</v>
      </c>
      <c r="O116">
        <f>IF(K116="high",2,IF(K116="medium",1,0))</f>
        <v>2</v>
      </c>
      <c r="P116">
        <f>IF(L116="high",2,0)</f>
        <v>0</v>
      </c>
      <c r="Q116">
        <f>IF(M116="high",2,IF(M116="medium",1,0))</f>
        <v>0</v>
      </c>
      <c r="R116">
        <f>SUM(N116:Q116)</f>
        <v>4</v>
      </c>
      <c r="S116" t="str">
        <f>IF(R116&gt;=5,"High Risk",IF(R116&gt;=3, "Medium Risk", "Low Risk"))</f>
        <v>Medium Risk</v>
      </c>
    </row>
    <row r="117" spans="1:19" x14ac:dyDescent="0.25">
      <c r="A117" t="s">
        <v>160</v>
      </c>
      <c r="B117" t="s">
        <v>38</v>
      </c>
      <c r="C117" t="s">
        <v>28</v>
      </c>
      <c r="D117">
        <v>534592</v>
      </c>
      <c r="E117">
        <v>50</v>
      </c>
      <c r="F117">
        <v>55</v>
      </c>
      <c r="G117" t="s">
        <v>22</v>
      </c>
      <c r="H117">
        <v>2</v>
      </c>
      <c r="I117" t="s">
        <v>35</v>
      </c>
      <c r="J117" t="str">
        <f>IF(E117&gt;30,"High",IF(E117&gt;10,"Medium","Low"))</f>
        <v>High</v>
      </c>
      <c r="K117" t="str">
        <f>IF(F117&gt;90,"High",IF(F117&gt;75,"Medium","Low"))</f>
        <v>Low</v>
      </c>
      <c r="L117" t="str">
        <f>IF(G117="Declining","High","Low")</f>
        <v>High</v>
      </c>
      <c r="M117" t="str">
        <f>IF(H117&gt;=3,"High",IF(H117=1,"Medium","Low"))</f>
        <v>Low</v>
      </c>
      <c r="N117">
        <f>IF(J117="high",2,IF(J117="Medium",1,0))</f>
        <v>2</v>
      </c>
      <c r="O117">
        <f>IF(K117="high",2,IF(K117="medium",1,0))</f>
        <v>0</v>
      </c>
      <c r="P117">
        <f>IF(L117="high",2,0)</f>
        <v>2</v>
      </c>
      <c r="Q117">
        <f>IF(M117="high",2,IF(M117="medium",1,0))</f>
        <v>0</v>
      </c>
      <c r="R117">
        <f>SUM(N117:Q117)</f>
        <v>4</v>
      </c>
      <c r="S117" t="str">
        <f>IF(R117&gt;=5,"High Risk",IF(R117&gt;=3, "Medium Risk", "Low Risk"))</f>
        <v>Medium Risk</v>
      </c>
    </row>
    <row r="118" spans="1:19" x14ac:dyDescent="0.25">
      <c r="A118" t="s">
        <v>161</v>
      </c>
      <c r="B118" t="s">
        <v>31</v>
      </c>
      <c r="C118" t="s">
        <v>28</v>
      </c>
      <c r="D118">
        <v>129299</v>
      </c>
      <c r="E118">
        <v>51</v>
      </c>
      <c r="F118">
        <v>71</v>
      </c>
      <c r="G118" t="s">
        <v>68</v>
      </c>
      <c r="H118">
        <v>5</v>
      </c>
      <c r="I118" t="s">
        <v>23</v>
      </c>
      <c r="J118" t="str">
        <f>IF(E118&gt;30,"High",IF(E118&gt;10,"Medium","Low"))</f>
        <v>High</v>
      </c>
      <c r="K118" t="str">
        <f>IF(F118&gt;90,"High",IF(F118&gt;75,"Medium","Low"))</f>
        <v>Low</v>
      </c>
      <c r="L118" t="str">
        <f>IF(G118="Declining","High","Low")</f>
        <v>Low</v>
      </c>
      <c r="M118" t="str">
        <f>IF(H118&gt;=3,"High",IF(H118=1,"Medium","Low"))</f>
        <v>High</v>
      </c>
      <c r="N118">
        <f>IF(J118="high",2,IF(J118="Medium",1,0))</f>
        <v>2</v>
      </c>
      <c r="O118">
        <f>IF(K118="high",2,IF(K118="medium",1,0))</f>
        <v>0</v>
      </c>
      <c r="P118">
        <f>IF(L118="high",2,0)</f>
        <v>0</v>
      </c>
      <c r="Q118">
        <f>IF(M118="high",2,IF(M118="medium",1,0))</f>
        <v>2</v>
      </c>
      <c r="R118">
        <f>SUM(N118:Q118)</f>
        <v>4</v>
      </c>
      <c r="S118" t="str">
        <f>IF(R118&gt;=5,"High Risk",IF(R118&gt;=3, "Medium Risk", "Low Risk"))</f>
        <v>Medium Risk</v>
      </c>
    </row>
    <row r="119" spans="1:19" x14ac:dyDescent="0.25">
      <c r="A119" t="s">
        <v>162</v>
      </c>
      <c r="B119" t="s">
        <v>38</v>
      </c>
      <c r="C119" t="s">
        <v>28</v>
      </c>
      <c r="D119">
        <v>1449770</v>
      </c>
      <c r="E119">
        <v>55</v>
      </c>
      <c r="F119">
        <v>51</v>
      </c>
      <c r="G119" t="s">
        <v>56</v>
      </c>
      <c r="H119">
        <v>3</v>
      </c>
      <c r="I119" t="s">
        <v>35</v>
      </c>
      <c r="J119" t="str">
        <f>IF(E119&gt;30,"High",IF(E119&gt;10,"Medium","Low"))</f>
        <v>High</v>
      </c>
      <c r="K119" t="str">
        <f>IF(F119&gt;90,"High",IF(F119&gt;75,"Medium","Low"))</f>
        <v>Low</v>
      </c>
      <c r="L119" t="str">
        <f>IF(G119="Declining","High","Low")</f>
        <v>Low</v>
      </c>
      <c r="M119" t="str">
        <f>IF(H119&gt;=3,"High",IF(H119=1,"Medium","Low"))</f>
        <v>High</v>
      </c>
      <c r="N119">
        <f>IF(J119="high",2,IF(J119="Medium",1,0))</f>
        <v>2</v>
      </c>
      <c r="O119">
        <f>IF(K119="high",2,IF(K119="medium",1,0))</f>
        <v>0</v>
      </c>
      <c r="P119">
        <f>IF(L119="high",2,0)</f>
        <v>0</v>
      </c>
      <c r="Q119">
        <f>IF(M119="high",2,IF(M119="medium",1,0))</f>
        <v>2</v>
      </c>
      <c r="R119">
        <f>SUM(N119:Q119)</f>
        <v>4</v>
      </c>
      <c r="S119" t="str">
        <f>IF(R119&gt;=5,"High Risk",IF(R119&gt;=3, "Medium Risk", "Low Risk"))</f>
        <v>Medium Risk</v>
      </c>
    </row>
    <row r="120" spans="1:19" x14ac:dyDescent="0.25">
      <c r="A120" t="s">
        <v>163</v>
      </c>
      <c r="B120" t="s">
        <v>41</v>
      </c>
      <c r="C120" t="s">
        <v>54</v>
      </c>
      <c r="D120">
        <v>1000341</v>
      </c>
      <c r="E120">
        <v>4</v>
      </c>
      <c r="F120">
        <v>78</v>
      </c>
      <c r="G120" t="s">
        <v>22</v>
      </c>
      <c r="H120">
        <v>1</v>
      </c>
      <c r="I120" t="s">
        <v>35</v>
      </c>
      <c r="J120" t="str">
        <f>IF(E120&gt;30,"High",IF(E120&gt;10,"Medium","Low"))</f>
        <v>Low</v>
      </c>
      <c r="K120" t="str">
        <f>IF(F120&gt;90,"High",IF(F120&gt;75,"Medium","Low"))</f>
        <v>Medium</v>
      </c>
      <c r="L120" t="str">
        <f>IF(G120="Declining","High","Low")</f>
        <v>High</v>
      </c>
      <c r="M120" t="str">
        <f>IF(H120&gt;=3,"High",IF(H120=1,"Medium","Low"))</f>
        <v>Medium</v>
      </c>
      <c r="N120">
        <f>IF(J120="high",2,IF(J120="Medium",1,0))</f>
        <v>0</v>
      </c>
      <c r="O120">
        <f>IF(K120="high",2,IF(K120="medium",1,0))</f>
        <v>1</v>
      </c>
      <c r="P120">
        <f>IF(L120="high",2,0)</f>
        <v>2</v>
      </c>
      <c r="Q120">
        <f>IF(M120="high",2,IF(M120="medium",1,0))</f>
        <v>1</v>
      </c>
      <c r="R120">
        <f>SUM(N120:Q120)</f>
        <v>4</v>
      </c>
      <c r="S120" t="str">
        <f>IF(R120&gt;=5,"High Risk",IF(R120&gt;=3, "Medium Risk", "Low Risk"))</f>
        <v>Medium Risk</v>
      </c>
    </row>
    <row r="121" spans="1:19" x14ac:dyDescent="0.25">
      <c r="A121" t="s">
        <v>164</v>
      </c>
      <c r="B121" t="s">
        <v>31</v>
      </c>
      <c r="C121" t="s">
        <v>21</v>
      </c>
      <c r="D121">
        <v>212582</v>
      </c>
      <c r="E121">
        <v>40</v>
      </c>
      <c r="F121">
        <v>74</v>
      </c>
      <c r="G121" t="s">
        <v>68</v>
      </c>
      <c r="H121">
        <v>3</v>
      </c>
      <c r="I121" t="s">
        <v>24</v>
      </c>
      <c r="J121" t="str">
        <f>IF(E121&gt;30,"High",IF(E121&gt;10,"Medium","Low"))</f>
        <v>High</v>
      </c>
      <c r="K121" t="str">
        <f>IF(F121&gt;90,"High",IF(F121&gt;75,"Medium","Low"))</f>
        <v>Low</v>
      </c>
      <c r="L121" t="str">
        <f>IF(G121="Declining","High","Low")</f>
        <v>Low</v>
      </c>
      <c r="M121" t="str">
        <f>IF(H121&gt;=3,"High",IF(H121=1,"Medium","Low"))</f>
        <v>High</v>
      </c>
      <c r="N121">
        <f>IF(J121="high",2,IF(J121="Medium",1,0))</f>
        <v>2</v>
      </c>
      <c r="O121">
        <f>IF(K121="high",2,IF(K121="medium",1,0))</f>
        <v>0</v>
      </c>
      <c r="P121">
        <f>IF(L121="high",2,0)</f>
        <v>0</v>
      </c>
      <c r="Q121">
        <f>IF(M121="high",2,IF(M121="medium",1,0))</f>
        <v>2</v>
      </c>
      <c r="R121">
        <f>SUM(N121:Q121)</f>
        <v>4</v>
      </c>
      <c r="S121" t="str">
        <f>IF(R121&gt;=5,"High Risk",IF(R121&gt;=3, "Medium Risk", "Low Risk"))</f>
        <v>Medium Risk</v>
      </c>
    </row>
    <row r="122" spans="1:19" x14ac:dyDescent="0.25">
      <c r="A122" t="s">
        <v>165</v>
      </c>
      <c r="B122" t="s">
        <v>20</v>
      </c>
      <c r="C122" t="s">
        <v>34</v>
      </c>
      <c r="D122">
        <v>1281141</v>
      </c>
      <c r="E122">
        <v>55</v>
      </c>
      <c r="F122">
        <v>57</v>
      </c>
      <c r="G122" t="s">
        <v>68</v>
      </c>
      <c r="H122">
        <v>3</v>
      </c>
      <c r="I122" t="s">
        <v>35</v>
      </c>
      <c r="J122" t="str">
        <f>IF(E122&gt;30,"High",IF(E122&gt;10,"Medium","Low"))</f>
        <v>High</v>
      </c>
      <c r="K122" t="str">
        <f>IF(F122&gt;90,"High",IF(F122&gt;75,"Medium","Low"))</f>
        <v>Low</v>
      </c>
      <c r="L122" t="str">
        <f>IF(G122="Declining","High","Low")</f>
        <v>Low</v>
      </c>
      <c r="M122" t="str">
        <f>IF(H122&gt;=3,"High",IF(H122=1,"Medium","Low"))</f>
        <v>High</v>
      </c>
      <c r="N122">
        <f>IF(J122="high",2,IF(J122="Medium",1,0))</f>
        <v>2</v>
      </c>
      <c r="O122">
        <f>IF(K122="high",2,IF(K122="medium",1,0))</f>
        <v>0</v>
      </c>
      <c r="P122">
        <f>IF(L122="high",2,0)</f>
        <v>0</v>
      </c>
      <c r="Q122">
        <f>IF(M122="high",2,IF(M122="medium",1,0))</f>
        <v>2</v>
      </c>
      <c r="R122">
        <f>SUM(N122:Q122)</f>
        <v>4</v>
      </c>
      <c r="S122" t="str">
        <f>IF(R122&gt;=5,"High Risk",IF(R122&gt;=3, "Medium Risk", "Low Risk"))</f>
        <v>Medium Risk</v>
      </c>
    </row>
    <row r="123" spans="1:19" x14ac:dyDescent="0.25">
      <c r="A123" t="s">
        <v>166</v>
      </c>
      <c r="B123" t="s">
        <v>48</v>
      </c>
      <c r="C123" t="s">
        <v>28</v>
      </c>
      <c r="D123">
        <v>417297</v>
      </c>
      <c r="E123">
        <v>32</v>
      </c>
      <c r="F123">
        <v>69</v>
      </c>
      <c r="G123" t="s">
        <v>56</v>
      </c>
      <c r="H123">
        <v>3</v>
      </c>
      <c r="I123" t="s">
        <v>35</v>
      </c>
      <c r="J123" t="str">
        <f>IF(E123&gt;30,"High",IF(E123&gt;10,"Medium","Low"))</f>
        <v>High</v>
      </c>
      <c r="K123" t="str">
        <f>IF(F123&gt;90,"High",IF(F123&gt;75,"Medium","Low"))</f>
        <v>Low</v>
      </c>
      <c r="L123" t="str">
        <f>IF(G123="Declining","High","Low")</f>
        <v>Low</v>
      </c>
      <c r="M123" t="str">
        <f>IF(H123&gt;=3,"High",IF(H123=1,"Medium","Low"))</f>
        <v>High</v>
      </c>
      <c r="N123">
        <f>IF(J123="high",2,IF(J123="Medium",1,0))</f>
        <v>2</v>
      </c>
      <c r="O123">
        <f>IF(K123="high",2,IF(K123="medium",1,0))</f>
        <v>0</v>
      </c>
      <c r="P123">
        <f>IF(L123="high",2,0)</f>
        <v>0</v>
      </c>
      <c r="Q123">
        <f>IF(M123="high",2,IF(M123="medium",1,0))</f>
        <v>2</v>
      </c>
      <c r="R123">
        <f>SUM(N123:Q123)</f>
        <v>4</v>
      </c>
      <c r="S123" t="str">
        <f>IF(R123&gt;=5,"High Risk",IF(R123&gt;=3, "Medium Risk", "Low Risk"))</f>
        <v>Medium Risk</v>
      </c>
    </row>
    <row r="124" spans="1:19" x14ac:dyDescent="0.25">
      <c r="A124" t="s">
        <v>167</v>
      </c>
      <c r="B124" t="s">
        <v>48</v>
      </c>
      <c r="C124" t="s">
        <v>54</v>
      </c>
      <c r="D124">
        <v>731044</v>
      </c>
      <c r="E124">
        <v>27</v>
      </c>
      <c r="F124">
        <v>99</v>
      </c>
      <c r="G124" t="s">
        <v>56</v>
      </c>
      <c r="H124">
        <v>1</v>
      </c>
      <c r="I124" t="s">
        <v>23</v>
      </c>
      <c r="J124" t="str">
        <f>IF(E124&gt;30,"High",IF(E124&gt;10,"Medium","Low"))</f>
        <v>Medium</v>
      </c>
      <c r="K124" t="str">
        <f>IF(F124&gt;90,"High",IF(F124&gt;75,"Medium","Low"))</f>
        <v>High</v>
      </c>
      <c r="L124" t="str">
        <f>IF(G124="Declining","High","Low")</f>
        <v>Low</v>
      </c>
      <c r="M124" t="str">
        <f>IF(H124&gt;=3,"High",IF(H124=1,"Medium","Low"))</f>
        <v>Medium</v>
      </c>
      <c r="N124">
        <f>IF(J124="high",2,IF(J124="Medium",1,0))</f>
        <v>1</v>
      </c>
      <c r="O124">
        <f>IF(K124="high",2,IF(K124="medium",1,0))</f>
        <v>2</v>
      </c>
      <c r="P124">
        <f>IF(L124="high",2,0)</f>
        <v>0</v>
      </c>
      <c r="Q124">
        <f>IF(M124="high",2,IF(M124="medium",1,0))</f>
        <v>1</v>
      </c>
      <c r="R124">
        <f>SUM(N124:Q124)</f>
        <v>4</v>
      </c>
      <c r="S124" t="str">
        <f>IF(R124&gt;=5,"High Risk",IF(R124&gt;=3, "Medium Risk", "Low Risk"))</f>
        <v>Medium Risk</v>
      </c>
    </row>
    <row r="125" spans="1:19" x14ac:dyDescent="0.25">
      <c r="A125" t="s">
        <v>168</v>
      </c>
      <c r="B125" t="s">
        <v>41</v>
      </c>
      <c r="C125" t="s">
        <v>54</v>
      </c>
      <c r="D125">
        <v>1024607</v>
      </c>
      <c r="E125">
        <v>23</v>
      </c>
      <c r="F125">
        <v>90</v>
      </c>
      <c r="G125" t="s">
        <v>56</v>
      </c>
      <c r="H125">
        <v>5</v>
      </c>
      <c r="I125" t="s">
        <v>24</v>
      </c>
      <c r="J125" t="str">
        <f>IF(E125&gt;30,"High",IF(E125&gt;10,"Medium","Low"))</f>
        <v>Medium</v>
      </c>
      <c r="K125" t="str">
        <f>IF(F125&gt;90,"High",IF(F125&gt;75,"Medium","Low"))</f>
        <v>Medium</v>
      </c>
      <c r="L125" t="str">
        <f>IF(G125="Declining","High","Low")</f>
        <v>Low</v>
      </c>
      <c r="M125" t="str">
        <f>IF(H125&gt;=3,"High",IF(H125=1,"Medium","Low"))</f>
        <v>High</v>
      </c>
      <c r="N125">
        <f>IF(J125="high",2,IF(J125="Medium",1,0))</f>
        <v>1</v>
      </c>
      <c r="O125">
        <f>IF(K125="high",2,IF(K125="medium",1,0))</f>
        <v>1</v>
      </c>
      <c r="P125">
        <f>IF(L125="high",2,0)</f>
        <v>0</v>
      </c>
      <c r="Q125">
        <f>IF(M125="high",2,IF(M125="medium",1,0))</f>
        <v>2</v>
      </c>
      <c r="R125">
        <f>SUM(N125:Q125)</f>
        <v>4</v>
      </c>
      <c r="S125" t="str">
        <f>IF(R125&gt;=5,"High Risk",IF(R125&gt;=3, "Medium Risk", "Low Risk"))</f>
        <v>Medium Risk</v>
      </c>
    </row>
    <row r="126" spans="1:19" x14ac:dyDescent="0.25">
      <c r="A126" t="s">
        <v>169</v>
      </c>
      <c r="B126" t="s">
        <v>20</v>
      </c>
      <c r="C126" t="s">
        <v>42</v>
      </c>
      <c r="D126">
        <v>724707</v>
      </c>
      <c r="E126">
        <v>52</v>
      </c>
      <c r="F126">
        <v>61</v>
      </c>
      <c r="G126" t="s">
        <v>68</v>
      </c>
      <c r="H126">
        <v>5</v>
      </c>
      <c r="I126" t="s">
        <v>24</v>
      </c>
      <c r="J126" t="str">
        <f>IF(E126&gt;30,"High",IF(E126&gt;10,"Medium","Low"))</f>
        <v>High</v>
      </c>
      <c r="K126" t="str">
        <f>IF(F126&gt;90,"High",IF(F126&gt;75,"Medium","Low"))</f>
        <v>Low</v>
      </c>
      <c r="L126" t="str">
        <f>IF(G126="Declining","High","Low")</f>
        <v>Low</v>
      </c>
      <c r="M126" t="str">
        <f>IF(H126&gt;=3,"High",IF(H126=1,"Medium","Low"))</f>
        <v>High</v>
      </c>
      <c r="N126">
        <f>IF(J126="high",2,IF(J126="Medium",1,0))</f>
        <v>2</v>
      </c>
      <c r="O126">
        <f>IF(K126="high",2,IF(K126="medium",1,0))</f>
        <v>0</v>
      </c>
      <c r="P126">
        <f>IF(L126="high",2,0)</f>
        <v>0</v>
      </c>
      <c r="Q126">
        <f>IF(M126="high",2,IF(M126="medium",1,0))</f>
        <v>2</v>
      </c>
      <c r="R126">
        <f>SUM(N126:Q126)</f>
        <v>4</v>
      </c>
      <c r="S126" t="str">
        <f>IF(R126&gt;=5,"High Risk",IF(R126&gt;=3, "Medium Risk", "Low Risk"))</f>
        <v>Medium Risk</v>
      </c>
    </row>
    <row r="127" spans="1:19" x14ac:dyDescent="0.25">
      <c r="A127" t="s">
        <v>170</v>
      </c>
      <c r="B127" t="s">
        <v>38</v>
      </c>
      <c r="C127" t="s">
        <v>21</v>
      </c>
      <c r="D127">
        <v>1399531</v>
      </c>
      <c r="E127">
        <v>44</v>
      </c>
      <c r="F127">
        <v>57</v>
      </c>
      <c r="G127" t="s">
        <v>22</v>
      </c>
      <c r="H127">
        <v>0</v>
      </c>
      <c r="I127" t="s">
        <v>24</v>
      </c>
      <c r="J127" t="str">
        <f>IF(E127&gt;30,"High",IF(E127&gt;10,"Medium","Low"))</f>
        <v>High</v>
      </c>
      <c r="K127" t="str">
        <f>IF(F127&gt;90,"High",IF(F127&gt;75,"Medium","Low"))</f>
        <v>Low</v>
      </c>
      <c r="L127" t="str">
        <f>IF(G127="Declining","High","Low")</f>
        <v>High</v>
      </c>
      <c r="M127" t="str">
        <f>IF(H127&gt;=3,"High",IF(H127=1,"Medium","Low"))</f>
        <v>Low</v>
      </c>
      <c r="N127">
        <f>IF(J127="high",2,IF(J127="Medium",1,0))</f>
        <v>2</v>
      </c>
      <c r="O127">
        <f>IF(K127="high",2,IF(K127="medium",1,0))</f>
        <v>0</v>
      </c>
      <c r="P127">
        <f>IF(L127="high",2,0)</f>
        <v>2</v>
      </c>
      <c r="Q127">
        <f>IF(M127="high",2,IF(M127="medium",1,0))</f>
        <v>0</v>
      </c>
      <c r="R127">
        <f>SUM(N127:Q127)</f>
        <v>4</v>
      </c>
      <c r="S127" t="str">
        <f>IF(R127&gt;=5,"High Risk",IF(R127&gt;=3, "Medium Risk", "Low Risk"))</f>
        <v>Medium Risk</v>
      </c>
    </row>
    <row r="128" spans="1:19" x14ac:dyDescent="0.25">
      <c r="A128" t="s">
        <v>171</v>
      </c>
      <c r="B128" t="s">
        <v>48</v>
      </c>
      <c r="C128" t="s">
        <v>34</v>
      </c>
      <c r="D128">
        <v>410695</v>
      </c>
      <c r="E128">
        <v>39</v>
      </c>
      <c r="F128">
        <v>86</v>
      </c>
      <c r="G128" t="s">
        <v>68</v>
      </c>
      <c r="H128">
        <v>1</v>
      </c>
      <c r="I128" t="s">
        <v>35</v>
      </c>
      <c r="J128" t="str">
        <f>IF(E128&gt;30,"High",IF(E128&gt;10,"Medium","Low"))</f>
        <v>High</v>
      </c>
      <c r="K128" t="str">
        <f>IF(F128&gt;90,"High",IF(F128&gt;75,"Medium","Low"))</f>
        <v>Medium</v>
      </c>
      <c r="L128" t="str">
        <f>IF(G128="Declining","High","Low")</f>
        <v>Low</v>
      </c>
      <c r="M128" t="str">
        <f>IF(H128&gt;=3,"High",IF(H128=1,"Medium","Low"))</f>
        <v>Medium</v>
      </c>
      <c r="N128">
        <f>IF(J128="high",2,IF(J128="Medium",1,0))</f>
        <v>2</v>
      </c>
      <c r="O128">
        <f>IF(K128="high",2,IF(K128="medium",1,0))</f>
        <v>1</v>
      </c>
      <c r="P128">
        <f>IF(L128="high",2,0)</f>
        <v>0</v>
      </c>
      <c r="Q128">
        <f>IF(M128="high",2,IF(M128="medium",1,0))</f>
        <v>1</v>
      </c>
      <c r="R128">
        <f>SUM(N128:Q128)</f>
        <v>4</v>
      </c>
      <c r="S128" t="str">
        <f>IF(R128&gt;=5,"High Risk",IF(R128&gt;=3, "Medium Risk", "Low Risk"))</f>
        <v>Medium Risk</v>
      </c>
    </row>
    <row r="129" spans="1:19" x14ac:dyDescent="0.25">
      <c r="A129" t="s">
        <v>172</v>
      </c>
      <c r="B129" t="s">
        <v>20</v>
      </c>
      <c r="C129" t="s">
        <v>42</v>
      </c>
      <c r="D129">
        <v>588329</v>
      </c>
      <c r="E129">
        <v>49</v>
      </c>
      <c r="F129">
        <v>62</v>
      </c>
      <c r="G129" t="s">
        <v>56</v>
      </c>
      <c r="H129">
        <v>4</v>
      </c>
      <c r="I129" t="s">
        <v>35</v>
      </c>
      <c r="J129" t="str">
        <f>IF(E129&gt;30,"High",IF(E129&gt;10,"Medium","Low"))</f>
        <v>High</v>
      </c>
      <c r="K129" t="str">
        <f>IF(F129&gt;90,"High",IF(F129&gt;75,"Medium","Low"))</f>
        <v>Low</v>
      </c>
      <c r="L129" t="str">
        <f>IF(G129="Declining","High","Low")</f>
        <v>Low</v>
      </c>
      <c r="M129" t="str">
        <f>IF(H129&gt;=3,"High",IF(H129=1,"Medium","Low"))</f>
        <v>High</v>
      </c>
      <c r="N129">
        <f>IF(J129="high",2,IF(J129="Medium",1,0))</f>
        <v>2</v>
      </c>
      <c r="O129">
        <f>IF(K129="high",2,IF(K129="medium",1,0))</f>
        <v>0</v>
      </c>
      <c r="P129">
        <f>IF(L129="high",2,0)</f>
        <v>0</v>
      </c>
      <c r="Q129">
        <f>IF(M129="high",2,IF(M129="medium",1,0))</f>
        <v>2</v>
      </c>
      <c r="R129">
        <f>SUM(N129:Q129)</f>
        <v>4</v>
      </c>
      <c r="S129" t="str">
        <f>IF(R129&gt;=5,"High Risk",IF(R129&gt;=3, "Medium Risk", "Low Risk"))</f>
        <v>Medium Risk</v>
      </c>
    </row>
    <row r="130" spans="1:19" x14ac:dyDescent="0.25">
      <c r="A130" t="s">
        <v>173</v>
      </c>
      <c r="B130" t="s">
        <v>38</v>
      </c>
      <c r="C130" t="s">
        <v>34</v>
      </c>
      <c r="D130">
        <v>1341332</v>
      </c>
      <c r="E130">
        <v>58</v>
      </c>
      <c r="F130">
        <v>40</v>
      </c>
      <c r="G130" t="s">
        <v>68</v>
      </c>
      <c r="H130">
        <v>4</v>
      </c>
      <c r="I130" t="s">
        <v>24</v>
      </c>
      <c r="J130" t="str">
        <f>IF(E130&gt;30,"High",IF(E130&gt;10,"Medium","Low"))</f>
        <v>High</v>
      </c>
      <c r="K130" t="str">
        <f>IF(F130&gt;90,"High",IF(F130&gt;75,"Medium","Low"))</f>
        <v>Low</v>
      </c>
      <c r="L130" t="str">
        <f>IF(G130="Declining","High","Low")</f>
        <v>Low</v>
      </c>
      <c r="M130" t="str">
        <f>IF(H130&gt;=3,"High",IF(H130=1,"Medium","Low"))</f>
        <v>High</v>
      </c>
      <c r="N130">
        <f>IF(J130="high",2,IF(J130="Medium",1,0))</f>
        <v>2</v>
      </c>
      <c r="O130">
        <f>IF(K130="high",2,IF(K130="medium",1,0))</f>
        <v>0</v>
      </c>
      <c r="P130">
        <f>IF(L130="high",2,0)</f>
        <v>0</v>
      </c>
      <c r="Q130">
        <f>IF(M130="high",2,IF(M130="medium",1,0))</f>
        <v>2</v>
      </c>
      <c r="R130">
        <f>SUM(N130:Q130)</f>
        <v>4</v>
      </c>
      <c r="S130" t="str">
        <f>IF(R130&gt;=5,"High Risk",IF(R130&gt;=3, "Medium Risk", "Low Risk"))</f>
        <v>Medium Risk</v>
      </c>
    </row>
    <row r="131" spans="1:19" x14ac:dyDescent="0.25">
      <c r="A131" t="s">
        <v>174</v>
      </c>
      <c r="B131" t="s">
        <v>48</v>
      </c>
      <c r="C131" t="s">
        <v>21</v>
      </c>
      <c r="D131">
        <v>565928</v>
      </c>
      <c r="E131">
        <v>7</v>
      </c>
      <c r="F131">
        <v>95</v>
      </c>
      <c r="G131" t="s">
        <v>68</v>
      </c>
      <c r="H131">
        <v>5</v>
      </c>
      <c r="I131" t="s">
        <v>23</v>
      </c>
      <c r="J131" t="str">
        <f>IF(E131&gt;30,"High",IF(E131&gt;10,"Medium","Low"))</f>
        <v>Low</v>
      </c>
      <c r="K131" t="str">
        <f>IF(F131&gt;90,"High",IF(F131&gt;75,"Medium","Low"))</f>
        <v>High</v>
      </c>
      <c r="L131" t="str">
        <f>IF(G131="Declining","High","Low")</f>
        <v>Low</v>
      </c>
      <c r="M131" t="str">
        <f>IF(H131&gt;=3,"High",IF(H131=1,"Medium","Low"))</f>
        <v>High</v>
      </c>
      <c r="N131">
        <f>IF(J131="high",2,IF(J131="Medium",1,0))</f>
        <v>0</v>
      </c>
      <c r="O131">
        <f>IF(K131="high",2,IF(K131="medium",1,0))</f>
        <v>2</v>
      </c>
      <c r="P131">
        <f>IF(L131="high",2,0)</f>
        <v>0</v>
      </c>
      <c r="Q131">
        <f>IF(M131="high",2,IF(M131="medium",1,0))</f>
        <v>2</v>
      </c>
      <c r="R131">
        <f>SUM(N131:Q131)</f>
        <v>4</v>
      </c>
      <c r="S131" t="str">
        <f>IF(R131&gt;=5,"High Risk",IF(R131&gt;=3, "Medium Risk", "Low Risk"))</f>
        <v>Medium Risk</v>
      </c>
    </row>
    <row r="132" spans="1:19" x14ac:dyDescent="0.25">
      <c r="A132" t="s">
        <v>175</v>
      </c>
      <c r="B132" t="s">
        <v>48</v>
      </c>
      <c r="C132" t="s">
        <v>28</v>
      </c>
      <c r="D132">
        <v>82344</v>
      </c>
      <c r="E132">
        <v>49</v>
      </c>
      <c r="F132">
        <v>49</v>
      </c>
      <c r="G132" t="s">
        <v>22</v>
      </c>
      <c r="H132">
        <v>2</v>
      </c>
      <c r="I132" t="s">
        <v>35</v>
      </c>
      <c r="J132" t="str">
        <f>IF(E132&gt;30,"High",IF(E132&gt;10,"Medium","Low"))</f>
        <v>High</v>
      </c>
      <c r="K132" t="str">
        <f>IF(F132&gt;90,"High",IF(F132&gt;75,"Medium","Low"))</f>
        <v>Low</v>
      </c>
      <c r="L132" t="str">
        <f>IF(G132="Declining","High","Low")</f>
        <v>High</v>
      </c>
      <c r="M132" t="str">
        <f>IF(H132&gt;=3,"High",IF(H132=1,"Medium","Low"))</f>
        <v>Low</v>
      </c>
      <c r="N132">
        <f>IF(J132="high",2,IF(J132="Medium",1,0))</f>
        <v>2</v>
      </c>
      <c r="O132">
        <f>IF(K132="high",2,IF(K132="medium",1,0))</f>
        <v>0</v>
      </c>
      <c r="P132">
        <f>IF(L132="high",2,0)</f>
        <v>2</v>
      </c>
      <c r="Q132">
        <f>IF(M132="high",2,IF(M132="medium",1,0))</f>
        <v>0</v>
      </c>
      <c r="R132">
        <f>SUM(N132:Q132)</f>
        <v>4</v>
      </c>
      <c r="S132" t="str">
        <f>IF(R132&gt;=5,"High Risk",IF(R132&gt;=3, "Medium Risk", "Low Risk"))</f>
        <v>Medium Risk</v>
      </c>
    </row>
    <row r="133" spans="1:19" x14ac:dyDescent="0.25">
      <c r="A133" t="s">
        <v>176</v>
      </c>
      <c r="B133" t="s">
        <v>41</v>
      </c>
      <c r="C133" t="s">
        <v>42</v>
      </c>
      <c r="D133">
        <v>1441052</v>
      </c>
      <c r="E133">
        <v>32</v>
      </c>
      <c r="F133">
        <v>96</v>
      </c>
      <c r="G133" t="s">
        <v>56</v>
      </c>
      <c r="H133">
        <v>0</v>
      </c>
      <c r="I133" t="s">
        <v>23</v>
      </c>
      <c r="J133" t="str">
        <f>IF(E133&gt;30,"High",IF(E133&gt;10,"Medium","Low"))</f>
        <v>High</v>
      </c>
      <c r="K133" t="str">
        <f>IF(F133&gt;90,"High",IF(F133&gt;75,"Medium","Low"))</f>
        <v>High</v>
      </c>
      <c r="L133" t="str">
        <f>IF(G133="Declining","High","Low")</f>
        <v>Low</v>
      </c>
      <c r="M133" t="str">
        <f>IF(H133&gt;=3,"High",IF(H133=1,"Medium","Low"))</f>
        <v>Low</v>
      </c>
      <c r="N133">
        <f>IF(J133="high",2,IF(J133="Medium",1,0))</f>
        <v>2</v>
      </c>
      <c r="O133">
        <f>IF(K133="high",2,IF(K133="medium",1,0))</f>
        <v>2</v>
      </c>
      <c r="P133">
        <f>IF(L133="high",2,0)</f>
        <v>0</v>
      </c>
      <c r="Q133">
        <f>IF(M133="high",2,IF(M133="medium",1,0))</f>
        <v>0</v>
      </c>
      <c r="R133">
        <f>SUM(N133:Q133)</f>
        <v>4</v>
      </c>
      <c r="S133" t="str">
        <f>IF(R133&gt;=5,"High Risk",IF(R133&gt;=3, "Medium Risk", "Low Risk"))</f>
        <v>Medium Risk</v>
      </c>
    </row>
    <row r="134" spans="1:19" x14ac:dyDescent="0.25">
      <c r="A134" t="s">
        <v>177</v>
      </c>
      <c r="B134" t="s">
        <v>41</v>
      </c>
      <c r="C134" t="s">
        <v>42</v>
      </c>
      <c r="D134">
        <v>565942</v>
      </c>
      <c r="E134">
        <v>49</v>
      </c>
      <c r="F134">
        <v>65</v>
      </c>
      <c r="G134" t="s">
        <v>22</v>
      </c>
      <c r="H134">
        <v>2</v>
      </c>
      <c r="I134" t="s">
        <v>35</v>
      </c>
      <c r="J134" t="str">
        <f>IF(E134&gt;30,"High",IF(E134&gt;10,"Medium","Low"))</f>
        <v>High</v>
      </c>
      <c r="K134" t="str">
        <f>IF(F134&gt;90,"High",IF(F134&gt;75,"Medium","Low"))</f>
        <v>Low</v>
      </c>
      <c r="L134" t="str">
        <f>IF(G134="Declining","High","Low")</f>
        <v>High</v>
      </c>
      <c r="M134" t="str">
        <f>IF(H134&gt;=3,"High",IF(H134=1,"Medium","Low"))</f>
        <v>Low</v>
      </c>
      <c r="N134">
        <f>IF(J134="high",2,IF(J134="Medium",1,0))</f>
        <v>2</v>
      </c>
      <c r="O134">
        <f>IF(K134="high",2,IF(K134="medium",1,0))</f>
        <v>0</v>
      </c>
      <c r="P134">
        <f>IF(L134="high",2,0)</f>
        <v>2</v>
      </c>
      <c r="Q134">
        <f>IF(M134="high",2,IF(M134="medium",1,0))</f>
        <v>0</v>
      </c>
      <c r="R134">
        <f>SUM(N134:Q134)</f>
        <v>4</v>
      </c>
      <c r="S134" t="str">
        <f>IF(R134&gt;=5,"High Risk",IF(R134&gt;=3, "Medium Risk", "Low Risk"))</f>
        <v>Medium Risk</v>
      </c>
    </row>
    <row r="135" spans="1:19" x14ac:dyDescent="0.25">
      <c r="A135" t="s">
        <v>178</v>
      </c>
      <c r="B135" t="s">
        <v>31</v>
      </c>
      <c r="C135" t="s">
        <v>28</v>
      </c>
      <c r="D135">
        <v>371776</v>
      </c>
      <c r="E135">
        <v>19</v>
      </c>
      <c r="F135">
        <v>100</v>
      </c>
      <c r="G135" t="s">
        <v>56</v>
      </c>
      <c r="H135">
        <v>1</v>
      </c>
      <c r="I135" t="s">
        <v>23</v>
      </c>
      <c r="J135" t="str">
        <f>IF(E135&gt;30,"High",IF(E135&gt;10,"Medium","Low"))</f>
        <v>Medium</v>
      </c>
      <c r="K135" t="str">
        <f>IF(F135&gt;90,"High",IF(F135&gt;75,"Medium","Low"))</f>
        <v>High</v>
      </c>
      <c r="L135" t="str">
        <f>IF(G135="Declining","High","Low")</f>
        <v>Low</v>
      </c>
      <c r="M135" t="str">
        <f>IF(H135&gt;=3,"High",IF(H135=1,"Medium","Low"))</f>
        <v>Medium</v>
      </c>
      <c r="N135">
        <f>IF(J135="high",2,IF(J135="Medium",1,0))</f>
        <v>1</v>
      </c>
      <c r="O135">
        <f>IF(K135="high",2,IF(K135="medium",1,0))</f>
        <v>2</v>
      </c>
      <c r="P135">
        <f>IF(L135="high",2,0)</f>
        <v>0</v>
      </c>
      <c r="Q135">
        <f>IF(M135="high",2,IF(M135="medium",1,0))</f>
        <v>1</v>
      </c>
      <c r="R135">
        <f>SUM(N135:Q135)</f>
        <v>4</v>
      </c>
      <c r="S135" t="str">
        <f>IF(R135&gt;=5,"High Risk",IF(R135&gt;=3, "Medium Risk", "Low Risk"))</f>
        <v>Medium Risk</v>
      </c>
    </row>
    <row r="136" spans="1:19" x14ac:dyDescent="0.25">
      <c r="A136" t="s">
        <v>179</v>
      </c>
      <c r="B136" t="s">
        <v>38</v>
      </c>
      <c r="C136" t="s">
        <v>54</v>
      </c>
      <c r="D136">
        <v>1415251</v>
      </c>
      <c r="E136">
        <v>17</v>
      </c>
      <c r="F136">
        <v>81</v>
      </c>
      <c r="G136" t="s">
        <v>22</v>
      </c>
      <c r="H136">
        <v>0</v>
      </c>
      <c r="I136" t="s">
        <v>23</v>
      </c>
      <c r="J136" t="str">
        <f>IF(E136&gt;30,"High",IF(E136&gt;10,"Medium","Low"))</f>
        <v>Medium</v>
      </c>
      <c r="K136" t="str">
        <f>IF(F136&gt;90,"High",IF(F136&gt;75,"Medium","Low"))</f>
        <v>Medium</v>
      </c>
      <c r="L136" t="str">
        <f>IF(G136="Declining","High","Low")</f>
        <v>High</v>
      </c>
      <c r="M136" t="str">
        <f>IF(H136&gt;=3,"High",IF(H136=1,"Medium","Low"))</f>
        <v>Low</v>
      </c>
      <c r="N136">
        <f>IF(J136="high",2,IF(J136="Medium",1,0))</f>
        <v>1</v>
      </c>
      <c r="O136">
        <f>IF(K136="high",2,IF(K136="medium",1,0))</f>
        <v>1</v>
      </c>
      <c r="P136">
        <f>IF(L136="high",2,0)</f>
        <v>2</v>
      </c>
      <c r="Q136">
        <f>IF(M136="high",2,IF(M136="medium",1,0))</f>
        <v>0</v>
      </c>
      <c r="R136">
        <f>SUM(N136:Q136)</f>
        <v>4</v>
      </c>
      <c r="S136" t="str">
        <f>IF(R136&gt;=5,"High Risk",IF(R136&gt;=3, "Medium Risk", "Low Risk"))</f>
        <v>Medium Risk</v>
      </c>
    </row>
    <row r="137" spans="1:19" x14ac:dyDescent="0.25">
      <c r="A137" t="s">
        <v>180</v>
      </c>
      <c r="B137" t="s">
        <v>31</v>
      </c>
      <c r="C137" t="s">
        <v>28</v>
      </c>
      <c r="D137">
        <v>136136</v>
      </c>
      <c r="E137">
        <v>48</v>
      </c>
      <c r="F137">
        <v>93</v>
      </c>
      <c r="G137" t="s">
        <v>68</v>
      </c>
      <c r="H137">
        <v>0</v>
      </c>
      <c r="I137" t="s">
        <v>23</v>
      </c>
      <c r="J137" t="str">
        <f>IF(E137&gt;30,"High",IF(E137&gt;10,"Medium","Low"))</f>
        <v>High</v>
      </c>
      <c r="K137" t="str">
        <f>IF(F137&gt;90,"High",IF(F137&gt;75,"Medium","Low"))</f>
        <v>High</v>
      </c>
      <c r="L137" t="str">
        <f>IF(G137="Declining","High","Low")</f>
        <v>Low</v>
      </c>
      <c r="M137" t="str">
        <f>IF(H137&gt;=3,"High",IF(H137=1,"Medium","Low"))</f>
        <v>Low</v>
      </c>
      <c r="N137">
        <f>IF(J137="high",2,IF(J137="Medium",1,0))</f>
        <v>2</v>
      </c>
      <c r="O137">
        <f>IF(K137="high",2,IF(K137="medium",1,0))</f>
        <v>2</v>
      </c>
      <c r="P137">
        <f>IF(L137="high",2,0)</f>
        <v>0</v>
      </c>
      <c r="Q137">
        <f>IF(M137="high",2,IF(M137="medium",1,0))</f>
        <v>0</v>
      </c>
      <c r="R137">
        <f>SUM(N137:Q137)</f>
        <v>4</v>
      </c>
      <c r="S137" t="str">
        <f>IF(R137&gt;=5,"High Risk",IF(R137&gt;=3, "Medium Risk", "Low Risk"))</f>
        <v>Medium Risk</v>
      </c>
    </row>
    <row r="138" spans="1:19" x14ac:dyDescent="0.25">
      <c r="A138" t="s">
        <v>181</v>
      </c>
      <c r="B138" t="s">
        <v>20</v>
      </c>
      <c r="C138" t="s">
        <v>34</v>
      </c>
      <c r="D138">
        <v>1126148</v>
      </c>
      <c r="E138">
        <v>17</v>
      </c>
      <c r="F138">
        <v>86</v>
      </c>
      <c r="G138" t="s">
        <v>56</v>
      </c>
      <c r="H138">
        <v>5</v>
      </c>
      <c r="I138" t="s">
        <v>24</v>
      </c>
      <c r="J138" t="str">
        <f>IF(E138&gt;30,"High",IF(E138&gt;10,"Medium","Low"))</f>
        <v>Medium</v>
      </c>
      <c r="K138" t="str">
        <f>IF(F138&gt;90,"High",IF(F138&gt;75,"Medium","Low"))</f>
        <v>Medium</v>
      </c>
      <c r="L138" t="str">
        <f>IF(G138="Declining","High","Low")</f>
        <v>Low</v>
      </c>
      <c r="M138" t="str">
        <f>IF(H138&gt;=3,"High",IF(H138=1,"Medium","Low"))</f>
        <v>High</v>
      </c>
      <c r="N138">
        <f>IF(J138="high",2,IF(J138="Medium",1,0))</f>
        <v>1</v>
      </c>
      <c r="O138">
        <f>IF(K138="high",2,IF(K138="medium",1,0))</f>
        <v>1</v>
      </c>
      <c r="P138">
        <f>IF(L138="high",2,0)</f>
        <v>0</v>
      </c>
      <c r="Q138">
        <f>IF(M138="high",2,IF(M138="medium",1,0))</f>
        <v>2</v>
      </c>
      <c r="R138">
        <f>SUM(N138:Q138)</f>
        <v>4</v>
      </c>
      <c r="S138" t="str">
        <f>IF(R138&gt;=5,"High Risk",IF(R138&gt;=3, "Medium Risk", "Low Risk"))</f>
        <v>Medium Risk</v>
      </c>
    </row>
    <row r="139" spans="1:19" x14ac:dyDescent="0.25">
      <c r="A139" t="s">
        <v>182</v>
      </c>
      <c r="B139" t="s">
        <v>20</v>
      </c>
      <c r="C139" t="s">
        <v>54</v>
      </c>
      <c r="D139">
        <v>168558</v>
      </c>
      <c r="E139">
        <v>39</v>
      </c>
      <c r="F139">
        <v>52</v>
      </c>
      <c r="G139" t="s">
        <v>56</v>
      </c>
      <c r="H139">
        <v>5</v>
      </c>
      <c r="I139" t="s">
        <v>23</v>
      </c>
      <c r="J139" t="str">
        <f>IF(E139&gt;30,"High",IF(E139&gt;10,"Medium","Low"))</f>
        <v>High</v>
      </c>
      <c r="K139" t="str">
        <f>IF(F139&gt;90,"High",IF(F139&gt;75,"Medium","Low"))</f>
        <v>Low</v>
      </c>
      <c r="L139" t="str">
        <f>IF(G139="Declining","High","Low")</f>
        <v>Low</v>
      </c>
      <c r="M139" t="str">
        <f>IF(H139&gt;=3,"High",IF(H139=1,"Medium","Low"))</f>
        <v>High</v>
      </c>
      <c r="N139">
        <f>IF(J139="high",2,IF(J139="Medium",1,0))</f>
        <v>2</v>
      </c>
      <c r="O139">
        <f>IF(K139="high",2,IF(K139="medium",1,0))</f>
        <v>0</v>
      </c>
      <c r="P139">
        <f>IF(L139="high",2,0)</f>
        <v>0</v>
      </c>
      <c r="Q139">
        <f>IF(M139="high",2,IF(M139="medium",1,0))</f>
        <v>2</v>
      </c>
      <c r="R139">
        <f>SUM(N139:Q139)</f>
        <v>4</v>
      </c>
      <c r="S139" t="str">
        <f>IF(R139&gt;=5,"High Risk",IF(R139&gt;=3, "Medium Risk", "Low Risk"))</f>
        <v>Medium Risk</v>
      </c>
    </row>
    <row r="140" spans="1:19" x14ac:dyDescent="0.25">
      <c r="A140" t="s">
        <v>183</v>
      </c>
      <c r="B140" t="s">
        <v>38</v>
      </c>
      <c r="C140" t="s">
        <v>42</v>
      </c>
      <c r="D140">
        <v>897181</v>
      </c>
      <c r="E140">
        <v>12</v>
      </c>
      <c r="F140">
        <v>98</v>
      </c>
      <c r="G140" t="s">
        <v>68</v>
      </c>
      <c r="H140">
        <v>1</v>
      </c>
      <c r="I140" t="s">
        <v>23</v>
      </c>
      <c r="J140" t="str">
        <f>IF(E140&gt;30,"High",IF(E140&gt;10,"Medium","Low"))</f>
        <v>Medium</v>
      </c>
      <c r="K140" t="str">
        <f>IF(F140&gt;90,"High",IF(F140&gt;75,"Medium","Low"))</f>
        <v>High</v>
      </c>
      <c r="L140" t="str">
        <f>IF(G140="Declining","High","Low")</f>
        <v>Low</v>
      </c>
      <c r="M140" t="str">
        <f>IF(H140&gt;=3,"High",IF(H140=1,"Medium","Low"))</f>
        <v>Medium</v>
      </c>
      <c r="N140">
        <f>IF(J140="high",2,IF(J140="Medium",1,0))</f>
        <v>1</v>
      </c>
      <c r="O140">
        <f>IF(K140="high",2,IF(K140="medium",1,0))</f>
        <v>2</v>
      </c>
      <c r="P140">
        <f>IF(L140="high",2,0)</f>
        <v>0</v>
      </c>
      <c r="Q140">
        <f>IF(M140="high",2,IF(M140="medium",1,0))</f>
        <v>1</v>
      </c>
      <c r="R140">
        <f>SUM(N140:Q140)</f>
        <v>4</v>
      </c>
      <c r="S140" t="str">
        <f>IF(R140&gt;=5,"High Risk",IF(R140&gt;=3, "Medium Risk", "Low Risk"))</f>
        <v>Medium Risk</v>
      </c>
    </row>
    <row r="141" spans="1:19" x14ac:dyDescent="0.25">
      <c r="A141" t="s">
        <v>184</v>
      </c>
      <c r="B141" t="s">
        <v>38</v>
      </c>
      <c r="C141" t="s">
        <v>21</v>
      </c>
      <c r="D141">
        <v>1324768</v>
      </c>
      <c r="E141">
        <v>41</v>
      </c>
      <c r="F141">
        <v>71</v>
      </c>
      <c r="G141" t="s">
        <v>56</v>
      </c>
      <c r="H141">
        <v>5</v>
      </c>
      <c r="I141" t="s">
        <v>35</v>
      </c>
      <c r="J141" t="str">
        <f>IF(E141&gt;30,"High",IF(E141&gt;10,"Medium","Low"))</f>
        <v>High</v>
      </c>
      <c r="K141" t="str">
        <f>IF(F141&gt;90,"High",IF(F141&gt;75,"Medium","Low"))</f>
        <v>Low</v>
      </c>
      <c r="L141" t="str">
        <f>IF(G141="Declining","High","Low")</f>
        <v>Low</v>
      </c>
      <c r="M141" t="str">
        <f>IF(H141&gt;=3,"High",IF(H141=1,"Medium","Low"))</f>
        <v>High</v>
      </c>
      <c r="N141">
        <f>IF(J141="high",2,IF(J141="Medium",1,0))</f>
        <v>2</v>
      </c>
      <c r="O141">
        <f>IF(K141="high",2,IF(K141="medium",1,0))</f>
        <v>0</v>
      </c>
      <c r="P141">
        <f>IF(L141="high",2,0)</f>
        <v>0</v>
      </c>
      <c r="Q141">
        <f>IF(M141="high",2,IF(M141="medium",1,0))</f>
        <v>2</v>
      </c>
      <c r="R141">
        <f>SUM(N141:Q141)</f>
        <v>4</v>
      </c>
      <c r="S141" t="str">
        <f>IF(R141&gt;=5,"High Risk",IF(R141&gt;=3, "Medium Risk", "Low Risk"))</f>
        <v>Medium Risk</v>
      </c>
    </row>
    <row r="142" spans="1:19" x14ac:dyDescent="0.25">
      <c r="A142" t="s">
        <v>185</v>
      </c>
      <c r="B142" t="s">
        <v>20</v>
      </c>
      <c r="C142" t="s">
        <v>34</v>
      </c>
      <c r="D142">
        <v>1239772</v>
      </c>
      <c r="E142">
        <v>50</v>
      </c>
      <c r="F142">
        <v>73</v>
      </c>
      <c r="G142" t="s">
        <v>56</v>
      </c>
      <c r="H142">
        <v>4</v>
      </c>
      <c r="I142" t="s">
        <v>23</v>
      </c>
      <c r="J142" t="str">
        <f>IF(E142&gt;30,"High",IF(E142&gt;10,"Medium","Low"))</f>
        <v>High</v>
      </c>
      <c r="K142" t="str">
        <f>IF(F142&gt;90,"High",IF(F142&gt;75,"Medium","Low"))</f>
        <v>Low</v>
      </c>
      <c r="L142" t="str">
        <f>IF(G142="Declining","High","Low")</f>
        <v>Low</v>
      </c>
      <c r="M142" t="str">
        <f>IF(H142&gt;=3,"High",IF(H142=1,"Medium","Low"))</f>
        <v>High</v>
      </c>
      <c r="N142">
        <f>IF(J142="high",2,IF(J142="Medium",1,0))</f>
        <v>2</v>
      </c>
      <c r="O142">
        <f>IF(K142="high",2,IF(K142="medium",1,0))</f>
        <v>0</v>
      </c>
      <c r="P142">
        <f>IF(L142="high",2,0)</f>
        <v>0</v>
      </c>
      <c r="Q142">
        <f>IF(M142="high",2,IF(M142="medium",1,0))</f>
        <v>2</v>
      </c>
      <c r="R142">
        <f>SUM(N142:Q142)</f>
        <v>4</v>
      </c>
      <c r="S142" t="str">
        <f>IF(R142&gt;=5,"High Risk",IF(R142&gt;=3, "Medium Risk", "Low Risk"))</f>
        <v>Medium Risk</v>
      </c>
    </row>
    <row r="143" spans="1:19" x14ac:dyDescent="0.25">
      <c r="A143" t="s">
        <v>186</v>
      </c>
      <c r="B143" t="s">
        <v>38</v>
      </c>
      <c r="C143" t="s">
        <v>21</v>
      </c>
      <c r="D143">
        <v>1156558</v>
      </c>
      <c r="E143">
        <v>39</v>
      </c>
      <c r="F143">
        <v>65</v>
      </c>
      <c r="G143" t="s">
        <v>56</v>
      </c>
      <c r="H143">
        <v>4</v>
      </c>
      <c r="I143" t="s">
        <v>24</v>
      </c>
      <c r="J143" t="str">
        <f>IF(E143&gt;30,"High",IF(E143&gt;10,"Medium","Low"))</f>
        <v>High</v>
      </c>
      <c r="K143" t="str">
        <f>IF(F143&gt;90,"High",IF(F143&gt;75,"Medium","Low"))</f>
        <v>Low</v>
      </c>
      <c r="L143" t="str">
        <f>IF(G143="Declining","High","Low")</f>
        <v>Low</v>
      </c>
      <c r="M143" t="str">
        <f>IF(H143&gt;=3,"High",IF(H143=1,"Medium","Low"))</f>
        <v>High</v>
      </c>
      <c r="N143">
        <f>IF(J143="high",2,IF(J143="Medium",1,0))</f>
        <v>2</v>
      </c>
      <c r="O143">
        <f>IF(K143="high",2,IF(K143="medium",1,0))</f>
        <v>0</v>
      </c>
      <c r="P143">
        <f>IF(L143="high",2,0)</f>
        <v>0</v>
      </c>
      <c r="Q143">
        <f>IF(M143="high",2,IF(M143="medium",1,0))</f>
        <v>2</v>
      </c>
      <c r="R143">
        <f>SUM(N143:Q143)</f>
        <v>4</v>
      </c>
      <c r="S143" t="str">
        <f>IF(R143&gt;=5,"High Risk",IF(R143&gt;=3, "Medium Risk", "Low Risk"))</f>
        <v>Medium Risk</v>
      </c>
    </row>
    <row r="144" spans="1:19" x14ac:dyDescent="0.25">
      <c r="A144" t="s">
        <v>187</v>
      </c>
      <c r="B144" t="s">
        <v>41</v>
      </c>
      <c r="C144" t="s">
        <v>54</v>
      </c>
      <c r="D144">
        <v>557685</v>
      </c>
      <c r="E144">
        <v>44</v>
      </c>
      <c r="F144">
        <v>55</v>
      </c>
      <c r="G144" t="s">
        <v>68</v>
      </c>
      <c r="H144">
        <v>5</v>
      </c>
      <c r="I144" t="s">
        <v>24</v>
      </c>
      <c r="J144" t="str">
        <f>IF(E144&gt;30,"High",IF(E144&gt;10,"Medium","Low"))</f>
        <v>High</v>
      </c>
      <c r="K144" t="str">
        <f>IF(F144&gt;90,"High",IF(F144&gt;75,"Medium","Low"))</f>
        <v>Low</v>
      </c>
      <c r="L144" t="str">
        <f>IF(G144="Declining","High","Low")</f>
        <v>Low</v>
      </c>
      <c r="M144" t="str">
        <f>IF(H144&gt;=3,"High",IF(H144=1,"Medium","Low"))</f>
        <v>High</v>
      </c>
      <c r="N144">
        <f>IF(J144="high",2,IF(J144="Medium",1,0))</f>
        <v>2</v>
      </c>
      <c r="O144">
        <f>IF(K144="high",2,IF(K144="medium",1,0))</f>
        <v>0</v>
      </c>
      <c r="P144">
        <f>IF(L144="high",2,0)</f>
        <v>0</v>
      </c>
      <c r="Q144">
        <f>IF(M144="high",2,IF(M144="medium",1,0))</f>
        <v>2</v>
      </c>
      <c r="R144">
        <f>SUM(N144:Q144)</f>
        <v>4</v>
      </c>
      <c r="S144" t="str">
        <f>IF(R144&gt;=5,"High Risk",IF(R144&gt;=3, "Medium Risk", "Low Risk"))</f>
        <v>Medium Risk</v>
      </c>
    </row>
    <row r="145" spans="1:19" x14ac:dyDescent="0.25">
      <c r="A145" t="s">
        <v>188</v>
      </c>
      <c r="B145" t="s">
        <v>48</v>
      </c>
      <c r="C145" t="s">
        <v>28</v>
      </c>
      <c r="D145">
        <v>1431424</v>
      </c>
      <c r="E145">
        <v>45</v>
      </c>
      <c r="F145">
        <v>63</v>
      </c>
      <c r="G145" t="s">
        <v>22</v>
      </c>
      <c r="H145">
        <v>0</v>
      </c>
      <c r="I145" t="s">
        <v>35</v>
      </c>
      <c r="J145" t="str">
        <f>IF(E145&gt;30,"High",IF(E145&gt;10,"Medium","Low"))</f>
        <v>High</v>
      </c>
      <c r="K145" t="str">
        <f>IF(F145&gt;90,"High",IF(F145&gt;75,"Medium","Low"))</f>
        <v>Low</v>
      </c>
      <c r="L145" t="str">
        <f>IF(G145="Declining","High","Low")</f>
        <v>High</v>
      </c>
      <c r="M145" t="str">
        <f>IF(H145&gt;=3,"High",IF(H145=1,"Medium","Low"))</f>
        <v>Low</v>
      </c>
      <c r="N145">
        <f>IF(J145="high",2,IF(J145="Medium",1,0))</f>
        <v>2</v>
      </c>
      <c r="O145">
        <f>IF(K145="high",2,IF(K145="medium",1,0))</f>
        <v>0</v>
      </c>
      <c r="P145">
        <f>IF(L145="high",2,0)</f>
        <v>2</v>
      </c>
      <c r="Q145">
        <f>IF(M145="high",2,IF(M145="medium",1,0))</f>
        <v>0</v>
      </c>
      <c r="R145">
        <f>SUM(N145:Q145)</f>
        <v>4</v>
      </c>
      <c r="S145" t="str">
        <f>IF(R145&gt;=5,"High Risk",IF(R145&gt;=3, "Medium Risk", "Low Risk"))</f>
        <v>Medium Risk</v>
      </c>
    </row>
    <row r="146" spans="1:19" x14ac:dyDescent="0.25">
      <c r="A146" t="s">
        <v>189</v>
      </c>
      <c r="B146" t="s">
        <v>20</v>
      </c>
      <c r="C146" t="s">
        <v>42</v>
      </c>
      <c r="D146">
        <v>519448</v>
      </c>
      <c r="E146">
        <v>40</v>
      </c>
      <c r="F146">
        <v>94</v>
      </c>
      <c r="G146" t="s">
        <v>56</v>
      </c>
      <c r="H146">
        <v>2</v>
      </c>
      <c r="I146" t="s">
        <v>35</v>
      </c>
      <c r="J146" t="str">
        <f>IF(E146&gt;30,"High",IF(E146&gt;10,"Medium","Low"))</f>
        <v>High</v>
      </c>
      <c r="K146" t="str">
        <f>IF(F146&gt;90,"High",IF(F146&gt;75,"Medium","Low"))</f>
        <v>High</v>
      </c>
      <c r="L146" t="str">
        <f>IF(G146="Declining","High","Low")</f>
        <v>Low</v>
      </c>
      <c r="M146" t="str">
        <f>IF(H146&gt;=3,"High",IF(H146=1,"Medium","Low"))</f>
        <v>Low</v>
      </c>
      <c r="N146">
        <f>IF(J146="high",2,IF(J146="Medium",1,0))</f>
        <v>2</v>
      </c>
      <c r="O146">
        <f>IF(K146="high",2,IF(K146="medium",1,0))</f>
        <v>2</v>
      </c>
      <c r="P146">
        <f>IF(L146="high",2,0)</f>
        <v>0</v>
      </c>
      <c r="Q146">
        <f>IF(M146="high",2,IF(M146="medium",1,0))</f>
        <v>0</v>
      </c>
      <c r="R146">
        <f>SUM(N146:Q146)</f>
        <v>4</v>
      </c>
      <c r="S146" t="str">
        <f>IF(R146&gt;=5,"High Risk",IF(R146&gt;=3, "Medium Risk", "Low Risk"))</f>
        <v>Medium Risk</v>
      </c>
    </row>
    <row r="147" spans="1:19" x14ac:dyDescent="0.25">
      <c r="A147" t="s">
        <v>190</v>
      </c>
      <c r="B147" t="s">
        <v>38</v>
      </c>
      <c r="C147" t="s">
        <v>42</v>
      </c>
      <c r="D147">
        <v>1292701</v>
      </c>
      <c r="E147">
        <v>60</v>
      </c>
      <c r="F147">
        <v>60</v>
      </c>
      <c r="G147" t="s">
        <v>68</v>
      </c>
      <c r="H147">
        <v>3</v>
      </c>
      <c r="I147" t="s">
        <v>23</v>
      </c>
      <c r="J147" t="str">
        <f>IF(E147&gt;30,"High",IF(E147&gt;10,"Medium","Low"))</f>
        <v>High</v>
      </c>
      <c r="K147" t="str">
        <f>IF(F147&gt;90,"High",IF(F147&gt;75,"Medium","Low"))</f>
        <v>Low</v>
      </c>
      <c r="L147" t="str">
        <f>IF(G147="Declining","High","Low")</f>
        <v>Low</v>
      </c>
      <c r="M147" t="str">
        <f>IF(H147&gt;=3,"High",IF(H147=1,"Medium","Low"))</f>
        <v>High</v>
      </c>
      <c r="N147">
        <f>IF(J147="high",2,IF(J147="Medium",1,0))</f>
        <v>2</v>
      </c>
      <c r="O147">
        <f>IF(K147="high",2,IF(K147="medium",1,0))</f>
        <v>0</v>
      </c>
      <c r="P147">
        <f>IF(L147="high",2,0)</f>
        <v>0</v>
      </c>
      <c r="Q147">
        <f>IF(M147="high",2,IF(M147="medium",1,0))</f>
        <v>2</v>
      </c>
      <c r="R147">
        <f>SUM(N147:Q147)</f>
        <v>4</v>
      </c>
      <c r="S147" t="str">
        <f>IF(R147&gt;=5,"High Risk",IF(R147&gt;=3, "Medium Risk", "Low Risk"))</f>
        <v>Medium Risk</v>
      </c>
    </row>
    <row r="148" spans="1:19" x14ac:dyDescent="0.25">
      <c r="A148" t="s">
        <v>191</v>
      </c>
      <c r="B148" t="s">
        <v>48</v>
      </c>
      <c r="C148" t="s">
        <v>21</v>
      </c>
      <c r="D148">
        <v>1353772</v>
      </c>
      <c r="E148">
        <v>55</v>
      </c>
      <c r="F148">
        <v>49</v>
      </c>
      <c r="G148" t="s">
        <v>56</v>
      </c>
      <c r="H148">
        <v>5</v>
      </c>
      <c r="I148" t="s">
        <v>23</v>
      </c>
      <c r="J148" t="str">
        <f>IF(E148&gt;30,"High",IF(E148&gt;10,"Medium","Low"))</f>
        <v>High</v>
      </c>
      <c r="K148" t="str">
        <f>IF(F148&gt;90,"High",IF(F148&gt;75,"Medium","Low"))</f>
        <v>Low</v>
      </c>
      <c r="L148" t="str">
        <f>IF(G148="Declining","High","Low")</f>
        <v>Low</v>
      </c>
      <c r="M148" t="str">
        <f>IF(H148&gt;=3,"High",IF(H148=1,"Medium","Low"))</f>
        <v>High</v>
      </c>
      <c r="N148">
        <f>IF(J148="high",2,IF(J148="Medium",1,0))</f>
        <v>2</v>
      </c>
      <c r="O148">
        <f>IF(K148="high",2,IF(K148="medium",1,0))</f>
        <v>0</v>
      </c>
      <c r="P148">
        <f>IF(L148="high",2,0)</f>
        <v>0</v>
      </c>
      <c r="Q148">
        <f>IF(M148="high",2,IF(M148="medium",1,0))</f>
        <v>2</v>
      </c>
      <c r="R148">
        <f>SUM(N148:Q148)</f>
        <v>4</v>
      </c>
      <c r="S148" t="str">
        <f>IF(R148&gt;=5,"High Risk",IF(R148&gt;=3, "Medium Risk", "Low Risk"))</f>
        <v>Medium Risk</v>
      </c>
    </row>
    <row r="149" spans="1:19" x14ac:dyDescent="0.25">
      <c r="A149" t="s">
        <v>192</v>
      </c>
      <c r="B149" t="s">
        <v>38</v>
      </c>
      <c r="C149" t="s">
        <v>42</v>
      </c>
      <c r="D149">
        <v>810030</v>
      </c>
      <c r="E149">
        <v>17</v>
      </c>
      <c r="F149">
        <v>91</v>
      </c>
      <c r="G149" t="s">
        <v>56</v>
      </c>
      <c r="H149">
        <v>1</v>
      </c>
      <c r="I149" t="s">
        <v>23</v>
      </c>
      <c r="J149" t="str">
        <f>IF(E149&gt;30,"High",IF(E149&gt;10,"Medium","Low"))</f>
        <v>Medium</v>
      </c>
      <c r="K149" t="str">
        <f>IF(F149&gt;90,"High",IF(F149&gt;75,"Medium","Low"))</f>
        <v>High</v>
      </c>
      <c r="L149" t="str">
        <f>IF(G149="Declining","High","Low")</f>
        <v>Low</v>
      </c>
      <c r="M149" t="str">
        <f>IF(H149&gt;=3,"High",IF(H149=1,"Medium","Low"))</f>
        <v>Medium</v>
      </c>
      <c r="N149">
        <f>IF(J149="high",2,IF(J149="Medium",1,0))</f>
        <v>1</v>
      </c>
      <c r="O149">
        <f>IF(K149="high",2,IF(K149="medium",1,0))</f>
        <v>2</v>
      </c>
      <c r="P149">
        <f>IF(L149="high",2,0)</f>
        <v>0</v>
      </c>
      <c r="Q149">
        <f>IF(M149="high",2,IF(M149="medium",1,0))</f>
        <v>1</v>
      </c>
      <c r="R149">
        <f>SUM(N149:Q149)</f>
        <v>4</v>
      </c>
      <c r="S149" t="str">
        <f>IF(R149&gt;=5,"High Risk",IF(R149&gt;=3, "Medium Risk", "Low Risk"))</f>
        <v>Medium Risk</v>
      </c>
    </row>
    <row r="150" spans="1:19" x14ac:dyDescent="0.25">
      <c r="A150" t="s">
        <v>193</v>
      </c>
      <c r="B150" t="s">
        <v>48</v>
      </c>
      <c r="C150" t="s">
        <v>28</v>
      </c>
      <c r="D150">
        <v>1035333</v>
      </c>
      <c r="E150">
        <v>17</v>
      </c>
      <c r="F150">
        <v>76</v>
      </c>
      <c r="G150" t="s">
        <v>56</v>
      </c>
      <c r="H150">
        <v>5</v>
      </c>
      <c r="I150" t="s">
        <v>24</v>
      </c>
      <c r="J150" t="str">
        <f>IF(E150&gt;30,"High",IF(E150&gt;10,"Medium","Low"))</f>
        <v>Medium</v>
      </c>
      <c r="K150" t="str">
        <f>IF(F150&gt;90,"High",IF(F150&gt;75,"Medium","Low"))</f>
        <v>Medium</v>
      </c>
      <c r="L150" t="str">
        <f>IF(G150="Declining","High","Low")</f>
        <v>Low</v>
      </c>
      <c r="M150" t="str">
        <f>IF(H150&gt;=3,"High",IF(H150=1,"Medium","Low"))</f>
        <v>High</v>
      </c>
      <c r="N150">
        <f>IF(J150="high",2,IF(J150="Medium",1,0))</f>
        <v>1</v>
      </c>
      <c r="O150">
        <f>IF(K150="high",2,IF(K150="medium",1,0))</f>
        <v>1</v>
      </c>
      <c r="P150">
        <f>IF(L150="high",2,0)</f>
        <v>0</v>
      </c>
      <c r="Q150">
        <f>IF(M150="high",2,IF(M150="medium",1,0))</f>
        <v>2</v>
      </c>
      <c r="R150">
        <f>SUM(N150:Q150)</f>
        <v>4</v>
      </c>
      <c r="S150" t="str">
        <f>IF(R150&gt;=5,"High Risk",IF(R150&gt;=3, "Medium Risk", "Low Risk"))</f>
        <v>Medium Risk</v>
      </c>
    </row>
    <row r="151" spans="1:19" x14ac:dyDescent="0.25">
      <c r="A151" t="s">
        <v>194</v>
      </c>
      <c r="B151" t="s">
        <v>41</v>
      </c>
      <c r="C151" t="s">
        <v>54</v>
      </c>
      <c r="D151">
        <v>229555</v>
      </c>
      <c r="E151">
        <v>38</v>
      </c>
      <c r="F151">
        <v>72</v>
      </c>
      <c r="G151" t="s">
        <v>68</v>
      </c>
      <c r="H151">
        <v>4</v>
      </c>
      <c r="I151" t="s">
        <v>35</v>
      </c>
      <c r="J151" t="str">
        <f>IF(E151&gt;30,"High",IF(E151&gt;10,"Medium","Low"))</f>
        <v>High</v>
      </c>
      <c r="K151" t="str">
        <f>IF(F151&gt;90,"High",IF(F151&gt;75,"Medium","Low"))</f>
        <v>Low</v>
      </c>
      <c r="L151" t="str">
        <f>IF(G151="Declining","High","Low")</f>
        <v>Low</v>
      </c>
      <c r="M151" t="str">
        <f>IF(H151&gt;=3,"High",IF(H151=1,"Medium","Low"))</f>
        <v>High</v>
      </c>
      <c r="N151">
        <f>IF(J151="high",2,IF(J151="Medium",1,0))</f>
        <v>2</v>
      </c>
      <c r="O151">
        <f>IF(K151="high",2,IF(K151="medium",1,0))</f>
        <v>0</v>
      </c>
      <c r="P151">
        <f>IF(L151="high",2,0)</f>
        <v>0</v>
      </c>
      <c r="Q151">
        <f>IF(M151="high",2,IF(M151="medium",1,0))</f>
        <v>2</v>
      </c>
      <c r="R151">
        <f>SUM(N151:Q151)</f>
        <v>4</v>
      </c>
      <c r="S151" t="str">
        <f>IF(R151&gt;=5,"High Risk",IF(R151&gt;=3, "Medium Risk", "Low Risk"))</f>
        <v>Medium Risk</v>
      </c>
    </row>
    <row r="152" spans="1:19" x14ac:dyDescent="0.25">
      <c r="A152" t="s">
        <v>195</v>
      </c>
      <c r="B152" t="s">
        <v>20</v>
      </c>
      <c r="C152" t="s">
        <v>21</v>
      </c>
      <c r="D152">
        <v>278927</v>
      </c>
      <c r="E152">
        <v>15</v>
      </c>
      <c r="F152">
        <v>81</v>
      </c>
      <c r="G152" t="s">
        <v>68</v>
      </c>
      <c r="H152">
        <v>4</v>
      </c>
      <c r="I152" t="s">
        <v>23</v>
      </c>
      <c r="J152" t="str">
        <f>IF(E152&gt;30,"High",IF(E152&gt;10,"Medium","Low"))</f>
        <v>Medium</v>
      </c>
      <c r="K152" t="str">
        <f>IF(F152&gt;90,"High",IF(F152&gt;75,"Medium","Low"))</f>
        <v>Medium</v>
      </c>
      <c r="L152" t="str">
        <f>IF(G152="Declining","High","Low")</f>
        <v>Low</v>
      </c>
      <c r="M152" t="str">
        <f>IF(H152&gt;=3,"High",IF(H152=1,"Medium","Low"))</f>
        <v>High</v>
      </c>
      <c r="N152">
        <f>IF(J152="high",2,IF(J152="Medium",1,0))</f>
        <v>1</v>
      </c>
      <c r="O152">
        <f>IF(K152="high",2,IF(K152="medium",1,0))</f>
        <v>1</v>
      </c>
      <c r="P152">
        <f>IF(L152="high",2,0)</f>
        <v>0</v>
      </c>
      <c r="Q152">
        <f>IF(M152="high",2,IF(M152="medium",1,0))</f>
        <v>2</v>
      </c>
      <c r="R152">
        <f>SUM(N152:Q152)</f>
        <v>4</v>
      </c>
      <c r="S152" t="str">
        <f>IF(R152&gt;=5,"High Risk",IF(R152&gt;=3, "Medium Risk", "Low Risk"))</f>
        <v>Medium Risk</v>
      </c>
    </row>
    <row r="153" spans="1:19" x14ac:dyDescent="0.25">
      <c r="A153" t="s">
        <v>196</v>
      </c>
      <c r="B153" t="s">
        <v>38</v>
      </c>
      <c r="C153" t="s">
        <v>42</v>
      </c>
      <c r="D153">
        <v>1235453</v>
      </c>
      <c r="E153">
        <v>47</v>
      </c>
      <c r="F153">
        <v>68</v>
      </c>
      <c r="G153" t="s">
        <v>68</v>
      </c>
      <c r="H153">
        <v>5</v>
      </c>
      <c r="I153" t="s">
        <v>24</v>
      </c>
      <c r="J153" t="str">
        <f>IF(E153&gt;30,"High",IF(E153&gt;10,"Medium","Low"))</f>
        <v>High</v>
      </c>
      <c r="K153" t="str">
        <f>IF(F153&gt;90,"High",IF(F153&gt;75,"Medium","Low"))</f>
        <v>Low</v>
      </c>
      <c r="L153" t="str">
        <f>IF(G153="Declining","High","Low")</f>
        <v>Low</v>
      </c>
      <c r="M153" t="str">
        <f>IF(H153&gt;=3,"High",IF(H153=1,"Medium","Low"))</f>
        <v>High</v>
      </c>
      <c r="N153">
        <f>IF(J153="high",2,IF(J153="Medium",1,0))</f>
        <v>2</v>
      </c>
      <c r="O153">
        <f>IF(K153="high",2,IF(K153="medium",1,0))</f>
        <v>0</v>
      </c>
      <c r="P153">
        <f>IF(L153="high",2,0)</f>
        <v>0</v>
      </c>
      <c r="Q153">
        <f>IF(M153="high",2,IF(M153="medium",1,0))</f>
        <v>2</v>
      </c>
      <c r="R153">
        <f>SUM(N153:Q153)</f>
        <v>4</v>
      </c>
      <c r="S153" t="str">
        <f>IF(R153&gt;=5,"High Risk",IF(R153&gt;=3, "Medium Risk", "Low Risk"))</f>
        <v>Medium Risk</v>
      </c>
    </row>
    <row r="154" spans="1:19" x14ac:dyDescent="0.25">
      <c r="A154" t="s">
        <v>197</v>
      </c>
      <c r="B154" t="s">
        <v>41</v>
      </c>
      <c r="C154" t="s">
        <v>54</v>
      </c>
      <c r="D154">
        <v>1304527</v>
      </c>
      <c r="E154">
        <v>24</v>
      </c>
      <c r="F154">
        <v>93</v>
      </c>
      <c r="G154" t="s">
        <v>68</v>
      </c>
      <c r="H154">
        <v>1</v>
      </c>
      <c r="I154" t="s">
        <v>35</v>
      </c>
      <c r="J154" t="str">
        <f>IF(E154&gt;30,"High",IF(E154&gt;10,"Medium","Low"))</f>
        <v>Medium</v>
      </c>
      <c r="K154" t="str">
        <f>IF(F154&gt;90,"High",IF(F154&gt;75,"Medium","Low"))</f>
        <v>High</v>
      </c>
      <c r="L154" t="str">
        <f>IF(G154="Declining","High","Low")</f>
        <v>Low</v>
      </c>
      <c r="M154" t="str">
        <f>IF(H154&gt;=3,"High",IF(H154=1,"Medium","Low"))</f>
        <v>Medium</v>
      </c>
      <c r="N154">
        <f>IF(J154="high",2,IF(J154="Medium",1,0))</f>
        <v>1</v>
      </c>
      <c r="O154">
        <f>IF(K154="high",2,IF(K154="medium",1,0))</f>
        <v>2</v>
      </c>
      <c r="P154">
        <f>IF(L154="high",2,0)</f>
        <v>0</v>
      </c>
      <c r="Q154">
        <f>IF(M154="high",2,IF(M154="medium",1,0))</f>
        <v>1</v>
      </c>
      <c r="R154">
        <f>SUM(N154:Q154)</f>
        <v>4</v>
      </c>
      <c r="S154" t="str">
        <f>IF(R154&gt;=5,"High Risk",IF(R154&gt;=3, "Medium Risk", "Low Risk"))</f>
        <v>Medium Risk</v>
      </c>
    </row>
    <row r="155" spans="1:19" x14ac:dyDescent="0.25">
      <c r="A155" t="s">
        <v>198</v>
      </c>
      <c r="B155" t="s">
        <v>20</v>
      </c>
      <c r="C155" t="s">
        <v>54</v>
      </c>
      <c r="D155">
        <v>1251089</v>
      </c>
      <c r="E155">
        <v>56</v>
      </c>
      <c r="F155">
        <v>61</v>
      </c>
      <c r="G155" t="s">
        <v>68</v>
      </c>
      <c r="H155">
        <v>4</v>
      </c>
      <c r="I155" t="s">
        <v>24</v>
      </c>
      <c r="J155" t="str">
        <f>IF(E155&gt;30,"High",IF(E155&gt;10,"Medium","Low"))</f>
        <v>High</v>
      </c>
      <c r="K155" t="str">
        <f>IF(F155&gt;90,"High",IF(F155&gt;75,"Medium","Low"))</f>
        <v>Low</v>
      </c>
      <c r="L155" t="str">
        <f>IF(G155="Declining","High","Low")</f>
        <v>Low</v>
      </c>
      <c r="M155" t="str">
        <f>IF(H155&gt;=3,"High",IF(H155=1,"Medium","Low"))</f>
        <v>High</v>
      </c>
      <c r="N155">
        <f>IF(J155="high",2,IF(J155="Medium",1,0))</f>
        <v>2</v>
      </c>
      <c r="O155">
        <f>IF(K155="high",2,IF(K155="medium",1,0))</f>
        <v>0</v>
      </c>
      <c r="P155">
        <f>IF(L155="high",2,0)</f>
        <v>0</v>
      </c>
      <c r="Q155">
        <f>IF(M155="high",2,IF(M155="medium",1,0))</f>
        <v>2</v>
      </c>
      <c r="R155">
        <f>SUM(N155:Q155)</f>
        <v>4</v>
      </c>
      <c r="S155" t="str">
        <f>IF(R155&gt;=5,"High Risk",IF(R155&gt;=3, "Medium Risk", "Low Risk"))</f>
        <v>Medium Risk</v>
      </c>
    </row>
    <row r="156" spans="1:19" x14ac:dyDescent="0.25">
      <c r="A156" t="s">
        <v>199</v>
      </c>
      <c r="B156" t="s">
        <v>38</v>
      </c>
      <c r="C156" t="s">
        <v>54</v>
      </c>
      <c r="D156">
        <v>234993</v>
      </c>
      <c r="E156">
        <v>36</v>
      </c>
      <c r="F156">
        <v>64</v>
      </c>
      <c r="G156" t="s">
        <v>22</v>
      </c>
      <c r="H156">
        <v>0</v>
      </c>
      <c r="I156" t="s">
        <v>35</v>
      </c>
      <c r="J156" t="str">
        <f>IF(E156&gt;30,"High",IF(E156&gt;10,"Medium","Low"))</f>
        <v>High</v>
      </c>
      <c r="K156" t="str">
        <f>IF(F156&gt;90,"High",IF(F156&gt;75,"Medium","Low"))</f>
        <v>Low</v>
      </c>
      <c r="L156" t="str">
        <f>IF(G156="Declining","High","Low")</f>
        <v>High</v>
      </c>
      <c r="M156" t="str">
        <f>IF(H156&gt;=3,"High",IF(H156=1,"Medium","Low"))</f>
        <v>Low</v>
      </c>
      <c r="N156">
        <f>IF(J156="high",2,IF(J156="Medium",1,0))</f>
        <v>2</v>
      </c>
      <c r="O156">
        <f>IF(K156="high",2,IF(K156="medium",1,0))</f>
        <v>0</v>
      </c>
      <c r="P156">
        <f>IF(L156="high",2,0)</f>
        <v>2</v>
      </c>
      <c r="Q156">
        <f>IF(M156="high",2,IF(M156="medium",1,0))</f>
        <v>0</v>
      </c>
      <c r="R156">
        <f>SUM(N156:Q156)</f>
        <v>4</v>
      </c>
      <c r="S156" t="str">
        <f>IF(R156&gt;=5,"High Risk",IF(R156&gt;=3, "Medium Risk", "Low Risk"))</f>
        <v>Medium Risk</v>
      </c>
    </row>
    <row r="157" spans="1:19" x14ac:dyDescent="0.25">
      <c r="A157" t="s">
        <v>200</v>
      </c>
      <c r="B157" t="s">
        <v>20</v>
      </c>
      <c r="C157" t="s">
        <v>21</v>
      </c>
      <c r="D157">
        <v>255965</v>
      </c>
      <c r="E157">
        <v>51</v>
      </c>
      <c r="F157">
        <v>86</v>
      </c>
      <c r="G157" t="s">
        <v>56</v>
      </c>
      <c r="H157">
        <v>1</v>
      </c>
      <c r="I157" t="s">
        <v>35</v>
      </c>
      <c r="J157" t="str">
        <f>IF(E157&gt;30,"High",IF(E157&gt;10,"Medium","Low"))</f>
        <v>High</v>
      </c>
      <c r="K157" t="str">
        <f>IF(F157&gt;90,"High",IF(F157&gt;75,"Medium","Low"))</f>
        <v>Medium</v>
      </c>
      <c r="L157" t="str">
        <f>IF(G157="Declining","High","Low")</f>
        <v>Low</v>
      </c>
      <c r="M157" t="str">
        <f>IF(H157&gt;=3,"High",IF(H157=1,"Medium","Low"))</f>
        <v>Medium</v>
      </c>
      <c r="N157">
        <f>IF(J157="high",2,IF(J157="Medium",1,0))</f>
        <v>2</v>
      </c>
      <c r="O157">
        <f>IF(K157="high",2,IF(K157="medium",1,0))</f>
        <v>1</v>
      </c>
      <c r="P157">
        <f>IF(L157="high",2,0)</f>
        <v>0</v>
      </c>
      <c r="Q157">
        <f>IF(M157="high",2,IF(M157="medium",1,0))</f>
        <v>1</v>
      </c>
      <c r="R157">
        <f>SUM(N157:Q157)</f>
        <v>4</v>
      </c>
      <c r="S157" t="str">
        <f>IF(R157&gt;=5,"High Risk",IF(R157&gt;=3, "Medium Risk", "Low Risk"))</f>
        <v>Medium Risk</v>
      </c>
    </row>
    <row r="158" spans="1:19" x14ac:dyDescent="0.25">
      <c r="A158" t="s">
        <v>201</v>
      </c>
      <c r="B158" t="s">
        <v>48</v>
      </c>
      <c r="C158" t="s">
        <v>42</v>
      </c>
      <c r="D158">
        <v>541672</v>
      </c>
      <c r="E158">
        <v>8</v>
      </c>
      <c r="F158">
        <v>92</v>
      </c>
      <c r="G158" t="s">
        <v>56</v>
      </c>
      <c r="H158">
        <v>4</v>
      </c>
      <c r="I158" t="s">
        <v>24</v>
      </c>
      <c r="J158" t="str">
        <f>IF(E158&gt;30,"High",IF(E158&gt;10,"Medium","Low"))</f>
        <v>Low</v>
      </c>
      <c r="K158" t="str">
        <f>IF(F158&gt;90,"High",IF(F158&gt;75,"Medium","Low"))</f>
        <v>High</v>
      </c>
      <c r="L158" t="str">
        <f>IF(G158="Declining","High","Low")</f>
        <v>Low</v>
      </c>
      <c r="M158" t="str">
        <f>IF(H158&gt;=3,"High",IF(H158=1,"Medium","Low"))</f>
        <v>High</v>
      </c>
      <c r="N158">
        <f>IF(J158="high",2,IF(J158="Medium",1,0))</f>
        <v>0</v>
      </c>
      <c r="O158">
        <f>IF(K158="high",2,IF(K158="medium",1,0))</f>
        <v>2</v>
      </c>
      <c r="P158">
        <f>IF(L158="high",2,0)</f>
        <v>0</v>
      </c>
      <c r="Q158">
        <f>IF(M158="high",2,IF(M158="medium",1,0))</f>
        <v>2</v>
      </c>
      <c r="R158">
        <f>SUM(N158:Q158)</f>
        <v>4</v>
      </c>
      <c r="S158" t="str">
        <f>IF(R158&gt;=5,"High Risk",IF(R158&gt;=3, "Medium Risk", "Low Risk"))</f>
        <v>Medium Risk</v>
      </c>
    </row>
    <row r="159" spans="1:19" x14ac:dyDescent="0.25">
      <c r="A159" t="s">
        <v>202</v>
      </c>
      <c r="B159" t="s">
        <v>48</v>
      </c>
      <c r="C159" t="s">
        <v>54</v>
      </c>
      <c r="D159">
        <v>56110</v>
      </c>
      <c r="E159">
        <v>54</v>
      </c>
      <c r="F159">
        <v>53</v>
      </c>
      <c r="G159" t="s">
        <v>22</v>
      </c>
      <c r="H159">
        <v>0</v>
      </c>
      <c r="I159" t="s">
        <v>23</v>
      </c>
      <c r="J159" t="str">
        <f>IF(E159&gt;30,"High",IF(E159&gt;10,"Medium","Low"))</f>
        <v>High</v>
      </c>
      <c r="K159" t="str">
        <f>IF(F159&gt;90,"High",IF(F159&gt;75,"Medium","Low"))</f>
        <v>Low</v>
      </c>
      <c r="L159" t="str">
        <f>IF(G159="Declining","High","Low")</f>
        <v>High</v>
      </c>
      <c r="M159" t="str">
        <f>IF(H159&gt;=3,"High",IF(H159=1,"Medium","Low"))</f>
        <v>Low</v>
      </c>
      <c r="N159">
        <f>IF(J159="high",2,IF(J159="Medium",1,0))</f>
        <v>2</v>
      </c>
      <c r="O159">
        <f>IF(K159="high",2,IF(K159="medium",1,0))</f>
        <v>0</v>
      </c>
      <c r="P159">
        <f>IF(L159="high",2,0)</f>
        <v>2</v>
      </c>
      <c r="Q159">
        <f>IF(M159="high",2,IF(M159="medium",1,0))</f>
        <v>0</v>
      </c>
      <c r="R159">
        <f>SUM(N159:Q159)</f>
        <v>4</v>
      </c>
      <c r="S159" t="str">
        <f>IF(R159&gt;=5,"High Risk",IF(R159&gt;=3, "Medium Risk", "Low Risk"))</f>
        <v>Medium Risk</v>
      </c>
    </row>
    <row r="160" spans="1:19" x14ac:dyDescent="0.25">
      <c r="A160" t="s">
        <v>203</v>
      </c>
      <c r="B160" t="s">
        <v>48</v>
      </c>
      <c r="C160" t="s">
        <v>21</v>
      </c>
      <c r="D160">
        <v>310395</v>
      </c>
      <c r="E160">
        <v>41</v>
      </c>
      <c r="F160">
        <v>68</v>
      </c>
      <c r="G160" t="s">
        <v>68</v>
      </c>
      <c r="H160">
        <v>4</v>
      </c>
      <c r="I160" t="s">
        <v>23</v>
      </c>
      <c r="J160" t="str">
        <f>IF(E160&gt;30,"High",IF(E160&gt;10,"Medium","Low"))</f>
        <v>High</v>
      </c>
      <c r="K160" t="str">
        <f>IF(F160&gt;90,"High",IF(F160&gt;75,"Medium","Low"))</f>
        <v>Low</v>
      </c>
      <c r="L160" t="str">
        <f>IF(G160="Declining","High","Low")</f>
        <v>Low</v>
      </c>
      <c r="M160" t="str">
        <f>IF(H160&gt;=3,"High",IF(H160=1,"Medium","Low"))</f>
        <v>High</v>
      </c>
      <c r="N160">
        <f>IF(J160="high",2,IF(J160="Medium",1,0))</f>
        <v>2</v>
      </c>
      <c r="O160">
        <f>IF(K160="high",2,IF(K160="medium",1,0))</f>
        <v>0</v>
      </c>
      <c r="P160">
        <f>IF(L160="high",2,0)</f>
        <v>0</v>
      </c>
      <c r="Q160">
        <f>IF(M160="high",2,IF(M160="medium",1,0))</f>
        <v>2</v>
      </c>
      <c r="R160">
        <f>SUM(N160:Q160)</f>
        <v>4</v>
      </c>
      <c r="S160" t="str">
        <f>IF(R160&gt;=5,"High Risk",IF(R160&gt;=3, "Medium Risk", "Low Risk"))</f>
        <v>Medium Risk</v>
      </c>
    </row>
    <row r="161" spans="1:19" x14ac:dyDescent="0.25">
      <c r="A161" t="s">
        <v>204</v>
      </c>
      <c r="B161" t="s">
        <v>20</v>
      </c>
      <c r="C161" t="s">
        <v>42</v>
      </c>
      <c r="D161">
        <v>95926</v>
      </c>
      <c r="E161">
        <v>53</v>
      </c>
      <c r="F161">
        <v>54</v>
      </c>
      <c r="G161" t="s">
        <v>22</v>
      </c>
      <c r="H161">
        <v>0</v>
      </c>
      <c r="I161" t="s">
        <v>23</v>
      </c>
      <c r="J161" t="str">
        <f>IF(E161&gt;30,"High",IF(E161&gt;10,"Medium","Low"))</f>
        <v>High</v>
      </c>
      <c r="K161" t="str">
        <f>IF(F161&gt;90,"High",IF(F161&gt;75,"Medium","Low"))</f>
        <v>Low</v>
      </c>
      <c r="L161" t="str">
        <f>IF(G161="Declining","High","Low")</f>
        <v>High</v>
      </c>
      <c r="M161" t="str">
        <f>IF(H161&gt;=3,"High",IF(H161=1,"Medium","Low"))</f>
        <v>Low</v>
      </c>
      <c r="N161">
        <f>IF(J161="high",2,IF(J161="Medium",1,0))</f>
        <v>2</v>
      </c>
      <c r="O161">
        <f>IF(K161="high",2,IF(K161="medium",1,0))</f>
        <v>0</v>
      </c>
      <c r="P161">
        <f>IF(L161="high",2,0)</f>
        <v>2</v>
      </c>
      <c r="Q161">
        <f>IF(M161="high",2,IF(M161="medium",1,0))</f>
        <v>0</v>
      </c>
      <c r="R161">
        <f>SUM(N161:Q161)</f>
        <v>4</v>
      </c>
      <c r="S161" t="str">
        <f>IF(R161&gt;=5,"High Risk",IF(R161&gt;=3, "Medium Risk", "Low Risk"))</f>
        <v>Medium Risk</v>
      </c>
    </row>
    <row r="162" spans="1:19" x14ac:dyDescent="0.25">
      <c r="A162" t="s">
        <v>205</v>
      </c>
      <c r="B162" t="s">
        <v>20</v>
      </c>
      <c r="C162" t="s">
        <v>54</v>
      </c>
      <c r="D162">
        <v>1098035</v>
      </c>
      <c r="E162">
        <v>55</v>
      </c>
      <c r="F162">
        <v>41</v>
      </c>
      <c r="G162" t="s">
        <v>68</v>
      </c>
      <c r="H162">
        <v>4</v>
      </c>
      <c r="I162" t="s">
        <v>24</v>
      </c>
      <c r="J162" t="str">
        <f>IF(E162&gt;30,"High",IF(E162&gt;10,"Medium","Low"))</f>
        <v>High</v>
      </c>
      <c r="K162" t="str">
        <f>IF(F162&gt;90,"High",IF(F162&gt;75,"Medium","Low"))</f>
        <v>Low</v>
      </c>
      <c r="L162" t="str">
        <f>IF(G162="Declining","High","Low")</f>
        <v>Low</v>
      </c>
      <c r="M162" t="str">
        <f>IF(H162&gt;=3,"High",IF(H162=1,"Medium","Low"))</f>
        <v>High</v>
      </c>
      <c r="N162">
        <f>IF(J162="high",2,IF(J162="Medium",1,0))</f>
        <v>2</v>
      </c>
      <c r="O162">
        <f>IF(K162="high",2,IF(K162="medium",1,0))</f>
        <v>0</v>
      </c>
      <c r="P162">
        <f>IF(L162="high",2,0)</f>
        <v>0</v>
      </c>
      <c r="Q162">
        <f>IF(M162="high",2,IF(M162="medium",1,0))</f>
        <v>2</v>
      </c>
      <c r="R162">
        <f>SUM(N162:Q162)</f>
        <v>4</v>
      </c>
      <c r="S162" t="str">
        <f>IF(R162&gt;=5,"High Risk",IF(R162&gt;=3, "Medium Risk", "Low Risk"))</f>
        <v>Medium Risk</v>
      </c>
    </row>
    <row r="163" spans="1:19" x14ac:dyDescent="0.25">
      <c r="A163" t="s">
        <v>206</v>
      </c>
      <c r="B163" t="s">
        <v>41</v>
      </c>
      <c r="C163" t="s">
        <v>54</v>
      </c>
      <c r="D163">
        <v>410463</v>
      </c>
      <c r="E163">
        <v>57</v>
      </c>
      <c r="F163">
        <v>83</v>
      </c>
      <c r="G163" t="s">
        <v>68</v>
      </c>
      <c r="H163">
        <v>1</v>
      </c>
      <c r="I163" t="s">
        <v>23</v>
      </c>
      <c r="J163" t="str">
        <f>IF(E163&gt;30,"High",IF(E163&gt;10,"Medium","Low"))</f>
        <v>High</v>
      </c>
      <c r="K163" t="str">
        <f>IF(F163&gt;90,"High",IF(F163&gt;75,"Medium","Low"))</f>
        <v>Medium</v>
      </c>
      <c r="L163" t="str">
        <f>IF(G163="Declining","High","Low")</f>
        <v>Low</v>
      </c>
      <c r="M163" t="str">
        <f>IF(H163&gt;=3,"High",IF(H163=1,"Medium","Low"))</f>
        <v>Medium</v>
      </c>
      <c r="N163">
        <f>IF(J163="high",2,IF(J163="Medium",1,0))</f>
        <v>2</v>
      </c>
      <c r="O163">
        <f>IF(K163="high",2,IF(K163="medium",1,0))</f>
        <v>1</v>
      </c>
      <c r="P163">
        <f>IF(L163="high",2,0)</f>
        <v>0</v>
      </c>
      <c r="Q163">
        <f>IF(M163="high",2,IF(M163="medium",1,0))</f>
        <v>1</v>
      </c>
      <c r="R163">
        <f>SUM(N163:Q163)</f>
        <v>4</v>
      </c>
      <c r="S163" t="str">
        <f>IF(R163&gt;=5,"High Risk",IF(R163&gt;=3, "Medium Risk", "Low Risk"))</f>
        <v>Medium Risk</v>
      </c>
    </row>
    <row r="164" spans="1:19" x14ac:dyDescent="0.25">
      <c r="A164" t="s">
        <v>207</v>
      </c>
      <c r="B164" t="s">
        <v>31</v>
      </c>
      <c r="C164" t="s">
        <v>42</v>
      </c>
      <c r="D164">
        <v>718315</v>
      </c>
      <c r="E164">
        <v>2</v>
      </c>
      <c r="F164">
        <v>57</v>
      </c>
      <c r="G164" t="s">
        <v>22</v>
      </c>
      <c r="H164">
        <v>5</v>
      </c>
      <c r="I164" t="s">
        <v>24</v>
      </c>
      <c r="J164" t="str">
        <f>IF(E164&gt;30,"High",IF(E164&gt;10,"Medium","Low"))</f>
        <v>Low</v>
      </c>
      <c r="K164" t="str">
        <f>IF(F164&gt;90,"High",IF(F164&gt;75,"Medium","Low"))</f>
        <v>Low</v>
      </c>
      <c r="L164" t="str">
        <f>IF(G164="Declining","High","Low")</f>
        <v>High</v>
      </c>
      <c r="M164" t="str">
        <f>IF(H164&gt;=3,"High",IF(H164=1,"Medium","Low"))</f>
        <v>High</v>
      </c>
      <c r="N164">
        <f>IF(J164="high",2,IF(J164="Medium",1,0))</f>
        <v>0</v>
      </c>
      <c r="O164">
        <f>IF(K164="high",2,IF(K164="medium",1,0))</f>
        <v>0</v>
      </c>
      <c r="P164">
        <f>IF(L164="high",2,0)</f>
        <v>2</v>
      </c>
      <c r="Q164">
        <f>IF(M164="high",2,IF(M164="medium",1,0))</f>
        <v>2</v>
      </c>
      <c r="R164">
        <f>SUM(N164:Q164)</f>
        <v>4</v>
      </c>
      <c r="S164" t="str">
        <f>IF(R164&gt;=5,"High Risk",IF(R164&gt;=3, "Medium Risk", "Low Risk"))</f>
        <v>Medium Risk</v>
      </c>
    </row>
    <row r="165" spans="1:19" x14ac:dyDescent="0.25">
      <c r="A165" t="s">
        <v>208</v>
      </c>
      <c r="B165" t="s">
        <v>48</v>
      </c>
      <c r="C165" t="s">
        <v>54</v>
      </c>
      <c r="D165">
        <v>1192580</v>
      </c>
      <c r="E165">
        <v>21</v>
      </c>
      <c r="F165">
        <v>98</v>
      </c>
      <c r="G165" t="s">
        <v>56</v>
      </c>
      <c r="H165">
        <v>1</v>
      </c>
      <c r="I165" t="s">
        <v>35</v>
      </c>
      <c r="J165" t="str">
        <f>IF(E165&gt;30,"High",IF(E165&gt;10,"Medium","Low"))</f>
        <v>Medium</v>
      </c>
      <c r="K165" t="str">
        <f>IF(F165&gt;90,"High",IF(F165&gt;75,"Medium","Low"))</f>
        <v>High</v>
      </c>
      <c r="L165" t="str">
        <f>IF(G165="Declining","High","Low")</f>
        <v>Low</v>
      </c>
      <c r="M165" t="str">
        <f>IF(H165&gt;=3,"High",IF(H165=1,"Medium","Low"))</f>
        <v>Medium</v>
      </c>
      <c r="N165">
        <f>IF(J165="high",2,IF(J165="Medium",1,0))</f>
        <v>1</v>
      </c>
      <c r="O165">
        <f>IF(K165="high",2,IF(K165="medium",1,0))</f>
        <v>2</v>
      </c>
      <c r="P165">
        <f>IF(L165="high",2,0)</f>
        <v>0</v>
      </c>
      <c r="Q165">
        <f>IF(M165="high",2,IF(M165="medium",1,0))</f>
        <v>1</v>
      </c>
      <c r="R165">
        <f>SUM(N165:Q165)</f>
        <v>4</v>
      </c>
      <c r="S165" t="str">
        <f>IF(R165&gt;=5,"High Risk",IF(R165&gt;=3, "Medium Risk", "Low Risk"))</f>
        <v>Medium Risk</v>
      </c>
    </row>
    <row r="166" spans="1:19" x14ac:dyDescent="0.25">
      <c r="A166" t="s">
        <v>209</v>
      </c>
      <c r="B166" t="s">
        <v>31</v>
      </c>
      <c r="C166" t="s">
        <v>28</v>
      </c>
      <c r="D166">
        <v>185299</v>
      </c>
      <c r="E166">
        <v>26</v>
      </c>
      <c r="F166">
        <v>100</v>
      </c>
      <c r="G166" t="s">
        <v>56</v>
      </c>
      <c r="H166">
        <v>1</v>
      </c>
      <c r="I166" t="s">
        <v>23</v>
      </c>
      <c r="J166" t="str">
        <f>IF(E166&gt;30,"High",IF(E166&gt;10,"Medium","Low"))</f>
        <v>Medium</v>
      </c>
      <c r="K166" t="str">
        <f>IF(F166&gt;90,"High",IF(F166&gt;75,"Medium","Low"))</f>
        <v>High</v>
      </c>
      <c r="L166" t="str">
        <f>IF(G166="Declining","High","Low")</f>
        <v>Low</v>
      </c>
      <c r="M166" t="str">
        <f>IF(H166&gt;=3,"High",IF(H166=1,"Medium","Low"))</f>
        <v>Medium</v>
      </c>
      <c r="N166">
        <f>IF(J166="high",2,IF(J166="Medium",1,0))</f>
        <v>1</v>
      </c>
      <c r="O166">
        <f>IF(K166="high",2,IF(K166="medium",1,0))</f>
        <v>2</v>
      </c>
      <c r="P166">
        <f>IF(L166="high",2,0)</f>
        <v>0</v>
      </c>
      <c r="Q166">
        <f>IF(M166="high",2,IF(M166="medium",1,0))</f>
        <v>1</v>
      </c>
      <c r="R166">
        <f>SUM(N166:Q166)</f>
        <v>4</v>
      </c>
      <c r="S166" t="str">
        <f>IF(R166&gt;=5,"High Risk",IF(R166&gt;=3, "Medium Risk", "Low Risk"))</f>
        <v>Medium Risk</v>
      </c>
    </row>
    <row r="167" spans="1:19" x14ac:dyDescent="0.25">
      <c r="A167" t="s">
        <v>210</v>
      </c>
      <c r="B167" t="s">
        <v>48</v>
      </c>
      <c r="C167" t="s">
        <v>28</v>
      </c>
      <c r="D167">
        <v>483644</v>
      </c>
      <c r="E167">
        <v>2</v>
      </c>
      <c r="F167">
        <v>64</v>
      </c>
      <c r="G167" t="s">
        <v>22</v>
      </c>
      <c r="H167">
        <v>5</v>
      </c>
      <c r="I167" t="s">
        <v>35</v>
      </c>
      <c r="J167" t="str">
        <f>IF(E167&gt;30,"High",IF(E167&gt;10,"Medium","Low"))</f>
        <v>Low</v>
      </c>
      <c r="K167" t="str">
        <f>IF(F167&gt;90,"High",IF(F167&gt;75,"Medium","Low"))</f>
        <v>Low</v>
      </c>
      <c r="L167" t="str">
        <f>IF(G167="Declining","High","Low")</f>
        <v>High</v>
      </c>
      <c r="M167" t="str">
        <f>IF(H167&gt;=3,"High",IF(H167=1,"Medium","Low"))</f>
        <v>High</v>
      </c>
      <c r="N167">
        <f>IF(J167="high",2,IF(J167="Medium",1,0))</f>
        <v>0</v>
      </c>
      <c r="O167">
        <f>IF(K167="high",2,IF(K167="medium",1,0))</f>
        <v>0</v>
      </c>
      <c r="P167">
        <f>IF(L167="high",2,0)</f>
        <v>2</v>
      </c>
      <c r="Q167">
        <f>IF(M167="high",2,IF(M167="medium",1,0))</f>
        <v>2</v>
      </c>
      <c r="R167">
        <f>SUM(N167:Q167)</f>
        <v>4</v>
      </c>
      <c r="S167" t="str">
        <f>IF(R167&gt;=5,"High Risk",IF(R167&gt;=3, "Medium Risk", "Low Risk"))</f>
        <v>Medium Risk</v>
      </c>
    </row>
    <row r="168" spans="1:19" x14ac:dyDescent="0.25">
      <c r="A168" t="s">
        <v>211</v>
      </c>
      <c r="B168" t="s">
        <v>38</v>
      </c>
      <c r="C168" t="s">
        <v>42</v>
      </c>
      <c r="D168">
        <v>461767</v>
      </c>
      <c r="E168">
        <v>34</v>
      </c>
      <c r="F168">
        <v>76</v>
      </c>
      <c r="G168" t="s">
        <v>56</v>
      </c>
      <c r="H168">
        <v>1</v>
      </c>
      <c r="I168" t="s">
        <v>24</v>
      </c>
      <c r="J168" t="str">
        <f>IF(E168&gt;30,"High",IF(E168&gt;10,"Medium","Low"))</f>
        <v>High</v>
      </c>
      <c r="K168" t="str">
        <f>IF(F168&gt;90,"High",IF(F168&gt;75,"Medium","Low"))</f>
        <v>Medium</v>
      </c>
      <c r="L168" t="str">
        <f>IF(G168="Declining","High","Low")</f>
        <v>Low</v>
      </c>
      <c r="M168" t="str">
        <f>IF(H168&gt;=3,"High",IF(H168=1,"Medium","Low"))</f>
        <v>Medium</v>
      </c>
      <c r="N168">
        <f>IF(J168="high",2,IF(J168="Medium",1,0))</f>
        <v>2</v>
      </c>
      <c r="O168">
        <f>IF(K168="high",2,IF(K168="medium",1,0))</f>
        <v>1</v>
      </c>
      <c r="P168">
        <f>IF(L168="high",2,0)</f>
        <v>0</v>
      </c>
      <c r="Q168">
        <f>IF(M168="high",2,IF(M168="medium",1,0))</f>
        <v>1</v>
      </c>
      <c r="R168">
        <f>SUM(N168:Q168)</f>
        <v>4</v>
      </c>
      <c r="S168" t="str">
        <f>IF(R168&gt;=5,"High Risk",IF(R168&gt;=3, "Medium Risk", "Low Risk"))</f>
        <v>Medium Risk</v>
      </c>
    </row>
    <row r="169" spans="1:19" x14ac:dyDescent="0.25">
      <c r="A169" t="s">
        <v>212</v>
      </c>
      <c r="B169" t="s">
        <v>38</v>
      </c>
      <c r="C169" t="s">
        <v>21</v>
      </c>
      <c r="D169">
        <v>100982</v>
      </c>
      <c r="E169">
        <v>20</v>
      </c>
      <c r="F169">
        <v>47</v>
      </c>
      <c r="G169" t="s">
        <v>68</v>
      </c>
      <c r="H169">
        <v>4</v>
      </c>
      <c r="I169" t="s">
        <v>24</v>
      </c>
      <c r="J169" t="str">
        <f>IF(E169&gt;30,"High",IF(E169&gt;10,"Medium","Low"))</f>
        <v>Medium</v>
      </c>
      <c r="K169" t="str">
        <f>IF(F169&gt;90,"High",IF(F169&gt;75,"Medium","Low"))</f>
        <v>Low</v>
      </c>
      <c r="L169" t="str">
        <f>IF(G169="Declining","High","Low")</f>
        <v>Low</v>
      </c>
      <c r="M169" t="str">
        <f>IF(H169&gt;=3,"High",IF(H169=1,"Medium","Low"))</f>
        <v>High</v>
      </c>
      <c r="N169">
        <f>IF(J169="high",2,IF(J169="Medium",1,0))</f>
        <v>1</v>
      </c>
      <c r="O169">
        <f>IF(K169="high",2,IF(K169="medium",1,0))</f>
        <v>0</v>
      </c>
      <c r="P169">
        <f>IF(L169="high",2,0)</f>
        <v>0</v>
      </c>
      <c r="Q169">
        <f>IF(M169="high",2,IF(M169="medium",1,0))</f>
        <v>2</v>
      </c>
      <c r="R169">
        <f>SUM(N169:Q169)</f>
        <v>3</v>
      </c>
      <c r="S169" t="str">
        <f>IF(R169&gt;=5,"High Risk",IF(R169&gt;=3, "Medium Risk", "Low Risk"))</f>
        <v>Medium Risk</v>
      </c>
    </row>
    <row r="170" spans="1:19" x14ac:dyDescent="0.25">
      <c r="A170" t="s">
        <v>213</v>
      </c>
      <c r="B170" t="s">
        <v>20</v>
      </c>
      <c r="C170" t="s">
        <v>21</v>
      </c>
      <c r="D170">
        <v>122770</v>
      </c>
      <c r="E170">
        <v>29</v>
      </c>
      <c r="F170">
        <v>74</v>
      </c>
      <c r="G170" t="s">
        <v>56</v>
      </c>
      <c r="H170">
        <v>4</v>
      </c>
      <c r="I170" t="s">
        <v>24</v>
      </c>
      <c r="J170" t="str">
        <f>IF(E170&gt;30,"High",IF(E170&gt;10,"Medium","Low"))</f>
        <v>Medium</v>
      </c>
      <c r="K170" t="str">
        <f>IF(F170&gt;90,"High",IF(F170&gt;75,"Medium","Low"))</f>
        <v>Low</v>
      </c>
      <c r="L170" t="str">
        <f>IF(G170="Declining","High","Low")</f>
        <v>Low</v>
      </c>
      <c r="M170" t="str">
        <f>IF(H170&gt;=3,"High",IF(H170=1,"Medium","Low"))</f>
        <v>High</v>
      </c>
      <c r="N170">
        <f>IF(J170="high",2,IF(J170="Medium",1,0))</f>
        <v>1</v>
      </c>
      <c r="O170">
        <f>IF(K170="high",2,IF(K170="medium",1,0))</f>
        <v>0</v>
      </c>
      <c r="P170">
        <f>IF(L170="high",2,0)</f>
        <v>0</v>
      </c>
      <c r="Q170">
        <f>IF(M170="high",2,IF(M170="medium",1,0))</f>
        <v>2</v>
      </c>
      <c r="R170">
        <f>SUM(N170:Q170)</f>
        <v>3</v>
      </c>
      <c r="S170" t="str">
        <f>IF(R170&gt;=5,"High Risk",IF(R170&gt;=3, "Medium Risk", "Low Risk"))</f>
        <v>Medium Risk</v>
      </c>
    </row>
    <row r="171" spans="1:19" x14ac:dyDescent="0.25">
      <c r="A171" t="s">
        <v>214</v>
      </c>
      <c r="B171" t="s">
        <v>31</v>
      </c>
      <c r="C171" t="s">
        <v>21</v>
      </c>
      <c r="D171">
        <v>636807</v>
      </c>
      <c r="E171">
        <v>28</v>
      </c>
      <c r="F171">
        <v>69</v>
      </c>
      <c r="G171" t="s">
        <v>68</v>
      </c>
      <c r="H171">
        <v>5</v>
      </c>
      <c r="I171" t="s">
        <v>24</v>
      </c>
      <c r="J171" t="str">
        <f>IF(E171&gt;30,"High",IF(E171&gt;10,"Medium","Low"))</f>
        <v>Medium</v>
      </c>
      <c r="K171" t="str">
        <f>IF(F171&gt;90,"High",IF(F171&gt;75,"Medium","Low"))</f>
        <v>Low</v>
      </c>
      <c r="L171" t="str">
        <f>IF(G171="Declining","High","Low")</f>
        <v>Low</v>
      </c>
      <c r="M171" t="str">
        <f>IF(H171&gt;=3,"High",IF(H171=1,"Medium","Low"))</f>
        <v>High</v>
      </c>
      <c r="N171">
        <f>IF(J171="high",2,IF(J171="Medium",1,0))</f>
        <v>1</v>
      </c>
      <c r="O171">
        <f>IF(K171="high",2,IF(K171="medium",1,0))</f>
        <v>0</v>
      </c>
      <c r="P171">
        <f>IF(L171="high",2,0)</f>
        <v>0</v>
      </c>
      <c r="Q171">
        <f>IF(M171="high",2,IF(M171="medium",1,0))</f>
        <v>2</v>
      </c>
      <c r="R171">
        <f>SUM(N171:Q171)</f>
        <v>3</v>
      </c>
      <c r="S171" t="str">
        <f>IF(R171&gt;=5,"High Risk",IF(R171&gt;=3, "Medium Risk", "Low Risk"))</f>
        <v>Medium Risk</v>
      </c>
    </row>
    <row r="172" spans="1:19" x14ac:dyDescent="0.25">
      <c r="A172" t="s">
        <v>215</v>
      </c>
      <c r="B172" t="s">
        <v>31</v>
      </c>
      <c r="C172" t="s">
        <v>21</v>
      </c>
      <c r="D172">
        <v>665082</v>
      </c>
      <c r="E172">
        <v>27</v>
      </c>
      <c r="F172">
        <v>43</v>
      </c>
      <c r="G172" t="s">
        <v>22</v>
      </c>
      <c r="H172">
        <v>0</v>
      </c>
      <c r="I172" t="s">
        <v>24</v>
      </c>
      <c r="J172" t="str">
        <f>IF(E172&gt;30,"High",IF(E172&gt;10,"Medium","Low"))</f>
        <v>Medium</v>
      </c>
      <c r="K172" t="str">
        <f>IF(F172&gt;90,"High",IF(F172&gt;75,"Medium","Low"))</f>
        <v>Low</v>
      </c>
      <c r="L172" t="str">
        <f>IF(G172="Declining","High","Low")</f>
        <v>High</v>
      </c>
      <c r="M172" t="str">
        <f>IF(H172&gt;=3,"High",IF(H172=1,"Medium","Low"))</f>
        <v>Low</v>
      </c>
      <c r="N172">
        <f>IF(J172="high",2,IF(J172="Medium",1,0))</f>
        <v>1</v>
      </c>
      <c r="O172">
        <f>IF(K172="high",2,IF(K172="medium",1,0))</f>
        <v>0</v>
      </c>
      <c r="P172">
        <f>IF(L172="high",2,0)</f>
        <v>2</v>
      </c>
      <c r="Q172">
        <f>IF(M172="high",2,IF(M172="medium",1,0))</f>
        <v>0</v>
      </c>
      <c r="R172">
        <f>SUM(N172:Q172)</f>
        <v>3</v>
      </c>
      <c r="S172" t="str">
        <f>IF(R172&gt;=5,"High Risk",IF(R172&gt;=3, "Medium Risk", "Low Risk"))</f>
        <v>Medium Risk</v>
      </c>
    </row>
    <row r="173" spans="1:19" x14ac:dyDescent="0.25">
      <c r="A173" t="s">
        <v>216</v>
      </c>
      <c r="B173" t="s">
        <v>41</v>
      </c>
      <c r="C173" t="s">
        <v>42</v>
      </c>
      <c r="D173">
        <v>596890</v>
      </c>
      <c r="E173">
        <v>4</v>
      </c>
      <c r="F173">
        <v>57</v>
      </c>
      <c r="G173" t="s">
        <v>22</v>
      </c>
      <c r="H173">
        <v>1</v>
      </c>
      <c r="I173" t="s">
        <v>35</v>
      </c>
      <c r="J173" t="str">
        <f>IF(E173&gt;30,"High",IF(E173&gt;10,"Medium","Low"))</f>
        <v>Low</v>
      </c>
      <c r="K173" t="str">
        <f>IF(F173&gt;90,"High",IF(F173&gt;75,"Medium","Low"))</f>
        <v>Low</v>
      </c>
      <c r="L173" t="str">
        <f>IF(G173="Declining","High","Low")</f>
        <v>High</v>
      </c>
      <c r="M173" t="str">
        <f>IF(H173&gt;=3,"High",IF(H173=1,"Medium","Low"))</f>
        <v>Medium</v>
      </c>
      <c r="N173">
        <f>IF(J173="high",2,IF(J173="Medium",1,0))</f>
        <v>0</v>
      </c>
      <c r="O173">
        <f>IF(K173="high",2,IF(K173="medium",1,0))</f>
        <v>0</v>
      </c>
      <c r="P173">
        <f>IF(L173="high",2,0)</f>
        <v>2</v>
      </c>
      <c r="Q173">
        <f>IF(M173="high",2,IF(M173="medium",1,0))</f>
        <v>1</v>
      </c>
      <c r="R173">
        <f>SUM(N173:Q173)</f>
        <v>3</v>
      </c>
      <c r="S173" t="str">
        <f>IF(R173&gt;=5,"High Risk",IF(R173&gt;=3, "Medium Risk", "Low Risk"))</f>
        <v>Medium Risk</v>
      </c>
    </row>
    <row r="174" spans="1:19" x14ac:dyDescent="0.25">
      <c r="A174" t="s">
        <v>217</v>
      </c>
      <c r="B174" t="s">
        <v>20</v>
      </c>
      <c r="C174" t="s">
        <v>42</v>
      </c>
      <c r="D174">
        <v>821122</v>
      </c>
      <c r="E174">
        <v>0</v>
      </c>
      <c r="F174">
        <v>79</v>
      </c>
      <c r="G174" t="s">
        <v>68</v>
      </c>
      <c r="H174">
        <v>3</v>
      </c>
      <c r="I174" t="s">
        <v>35</v>
      </c>
      <c r="J174" t="str">
        <f>IF(E174&gt;30,"High",IF(E174&gt;10,"Medium","Low"))</f>
        <v>Low</v>
      </c>
      <c r="K174" t="str">
        <f>IF(F174&gt;90,"High",IF(F174&gt;75,"Medium","Low"))</f>
        <v>Medium</v>
      </c>
      <c r="L174" t="str">
        <f>IF(G174="Declining","High","Low")</f>
        <v>Low</v>
      </c>
      <c r="M174" t="str">
        <f>IF(H174&gt;=3,"High",IF(H174=1,"Medium","Low"))</f>
        <v>High</v>
      </c>
      <c r="N174">
        <f>IF(J174="high",2,IF(J174="Medium",1,0))</f>
        <v>0</v>
      </c>
      <c r="O174">
        <f>IF(K174="high",2,IF(K174="medium",1,0))</f>
        <v>1</v>
      </c>
      <c r="P174">
        <f>IF(L174="high",2,0)</f>
        <v>0</v>
      </c>
      <c r="Q174">
        <f>IF(M174="high",2,IF(M174="medium",1,0))</f>
        <v>2</v>
      </c>
      <c r="R174">
        <f>SUM(N174:Q174)</f>
        <v>3</v>
      </c>
      <c r="S174" t="str">
        <f>IF(R174&gt;=5,"High Risk",IF(R174&gt;=3, "Medium Risk", "Low Risk"))</f>
        <v>Medium Risk</v>
      </c>
    </row>
    <row r="175" spans="1:19" x14ac:dyDescent="0.25">
      <c r="A175" t="s">
        <v>218</v>
      </c>
      <c r="B175" t="s">
        <v>41</v>
      </c>
      <c r="C175" t="s">
        <v>28</v>
      </c>
      <c r="D175">
        <v>518774</v>
      </c>
      <c r="E175">
        <v>13</v>
      </c>
      <c r="F175">
        <v>62</v>
      </c>
      <c r="G175" t="s">
        <v>56</v>
      </c>
      <c r="H175">
        <v>3</v>
      </c>
      <c r="I175" t="s">
        <v>23</v>
      </c>
      <c r="J175" t="str">
        <f>IF(E175&gt;30,"High",IF(E175&gt;10,"Medium","Low"))</f>
        <v>Medium</v>
      </c>
      <c r="K175" t="str">
        <f>IF(F175&gt;90,"High",IF(F175&gt;75,"Medium","Low"))</f>
        <v>Low</v>
      </c>
      <c r="L175" t="str">
        <f>IF(G175="Declining","High","Low")</f>
        <v>Low</v>
      </c>
      <c r="M175" t="str">
        <f>IF(H175&gt;=3,"High",IF(H175=1,"Medium","Low"))</f>
        <v>High</v>
      </c>
      <c r="N175">
        <f>IF(J175="high",2,IF(J175="Medium",1,0))</f>
        <v>1</v>
      </c>
      <c r="O175">
        <f>IF(K175="high",2,IF(K175="medium",1,0))</f>
        <v>0</v>
      </c>
      <c r="P175">
        <f>IF(L175="high",2,0)</f>
        <v>0</v>
      </c>
      <c r="Q175">
        <f>IF(M175="high",2,IF(M175="medium",1,0))</f>
        <v>2</v>
      </c>
      <c r="R175">
        <f>SUM(N175:Q175)</f>
        <v>3</v>
      </c>
      <c r="S175" t="str">
        <f>IF(R175&gt;=5,"High Risk",IF(R175&gt;=3, "Medium Risk", "Low Risk"))</f>
        <v>Medium Risk</v>
      </c>
    </row>
    <row r="176" spans="1:19" x14ac:dyDescent="0.25">
      <c r="A176" t="s">
        <v>219</v>
      </c>
      <c r="B176" t="s">
        <v>41</v>
      </c>
      <c r="C176" t="s">
        <v>28</v>
      </c>
      <c r="D176">
        <v>1344225</v>
      </c>
      <c r="E176">
        <v>48</v>
      </c>
      <c r="F176">
        <v>54</v>
      </c>
      <c r="G176" t="s">
        <v>56</v>
      </c>
      <c r="H176">
        <v>1</v>
      </c>
      <c r="I176" t="s">
        <v>24</v>
      </c>
      <c r="J176" t="str">
        <f>IF(E176&gt;30,"High",IF(E176&gt;10,"Medium","Low"))</f>
        <v>High</v>
      </c>
      <c r="K176" t="str">
        <f>IF(F176&gt;90,"High",IF(F176&gt;75,"Medium","Low"))</f>
        <v>Low</v>
      </c>
      <c r="L176" t="str">
        <f>IF(G176="Declining","High","Low")</f>
        <v>Low</v>
      </c>
      <c r="M176" t="str">
        <f>IF(H176&gt;=3,"High",IF(H176=1,"Medium","Low"))</f>
        <v>Medium</v>
      </c>
      <c r="N176">
        <f>IF(J176="high",2,IF(J176="Medium",1,0))</f>
        <v>2</v>
      </c>
      <c r="O176">
        <f>IF(K176="high",2,IF(K176="medium",1,0))</f>
        <v>0</v>
      </c>
      <c r="P176">
        <f>IF(L176="high",2,0)</f>
        <v>0</v>
      </c>
      <c r="Q176">
        <f>IF(M176="high",2,IF(M176="medium",1,0))</f>
        <v>1</v>
      </c>
      <c r="R176">
        <f>SUM(N176:Q176)</f>
        <v>3</v>
      </c>
      <c r="S176" t="str">
        <f>IF(R176&gt;=5,"High Risk",IF(R176&gt;=3, "Medium Risk", "Low Risk"))</f>
        <v>Medium Risk</v>
      </c>
    </row>
    <row r="177" spans="1:19" x14ac:dyDescent="0.25">
      <c r="A177" t="s">
        <v>220</v>
      </c>
      <c r="B177" t="s">
        <v>41</v>
      </c>
      <c r="C177" t="s">
        <v>54</v>
      </c>
      <c r="D177">
        <v>1300766</v>
      </c>
      <c r="E177">
        <v>4</v>
      </c>
      <c r="F177">
        <v>81</v>
      </c>
      <c r="G177" t="s">
        <v>56</v>
      </c>
      <c r="H177">
        <v>4</v>
      </c>
      <c r="I177" t="s">
        <v>23</v>
      </c>
      <c r="J177" t="str">
        <f>IF(E177&gt;30,"High",IF(E177&gt;10,"Medium","Low"))</f>
        <v>Low</v>
      </c>
      <c r="K177" t="str">
        <f>IF(F177&gt;90,"High",IF(F177&gt;75,"Medium","Low"))</f>
        <v>Medium</v>
      </c>
      <c r="L177" t="str">
        <f>IF(G177="Declining","High","Low")</f>
        <v>Low</v>
      </c>
      <c r="M177" t="str">
        <f>IF(H177&gt;=3,"High",IF(H177=1,"Medium","Low"))</f>
        <v>High</v>
      </c>
      <c r="N177">
        <f>IF(J177="high",2,IF(J177="Medium",1,0))</f>
        <v>0</v>
      </c>
      <c r="O177">
        <f>IF(K177="high",2,IF(K177="medium",1,0))</f>
        <v>1</v>
      </c>
      <c r="P177">
        <f>IF(L177="high",2,0)</f>
        <v>0</v>
      </c>
      <c r="Q177">
        <f>IF(M177="high",2,IF(M177="medium",1,0))</f>
        <v>2</v>
      </c>
      <c r="R177">
        <f>SUM(N177:Q177)</f>
        <v>3</v>
      </c>
      <c r="S177" t="str">
        <f>IF(R177&gt;=5,"High Risk",IF(R177&gt;=3, "Medium Risk", "Low Risk"))</f>
        <v>Medium Risk</v>
      </c>
    </row>
    <row r="178" spans="1:19" x14ac:dyDescent="0.25">
      <c r="A178" t="s">
        <v>221</v>
      </c>
      <c r="B178" t="s">
        <v>48</v>
      </c>
      <c r="C178" t="s">
        <v>42</v>
      </c>
      <c r="D178">
        <v>589014</v>
      </c>
      <c r="E178">
        <v>15</v>
      </c>
      <c r="F178">
        <v>41</v>
      </c>
      <c r="G178" t="s">
        <v>22</v>
      </c>
      <c r="H178">
        <v>0</v>
      </c>
      <c r="I178" t="s">
        <v>24</v>
      </c>
      <c r="J178" t="str">
        <f>IF(E178&gt;30,"High",IF(E178&gt;10,"Medium","Low"))</f>
        <v>Medium</v>
      </c>
      <c r="K178" t="str">
        <f>IF(F178&gt;90,"High",IF(F178&gt;75,"Medium","Low"))</f>
        <v>Low</v>
      </c>
      <c r="L178" t="str">
        <f>IF(G178="Declining","High","Low")</f>
        <v>High</v>
      </c>
      <c r="M178" t="str">
        <f>IF(H178&gt;=3,"High",IF(H178=1,"Medium","Low"))</f>
        <v>Low</v>
      </c>
      <c r="N178">
        <f>IF(J178="high",2,IF(J178="Medium",1,0))</f>
        <v>1</v>
      </c>
      <c r="O178">
        <f>IF(K178="high",2,IF(K178="medium",1,0))</f>
        <v>0</v>
      </c>
      <c r="P178">
        <f>IF(L178="high",2,0)</f>
        <v>2</v>
      </c>
      <c r="Q178">
        <f>IF(M178="high",2,IF(M178="medium",1,0))</f>
        <v>0</v>
      </c>
      <c r="R178">
        <f>SUM(N178:Q178)</f>
        <v>3</v>
      </c>
      <c r="S178" t="str">
        <f>IF(R178&gt;=5,"High Risk",IF(R178&gt;=3, "Medium Risk", "Low Risk"))</f>
        <v>Medium Risk</v>
      </c>
    </row>
    <row r="179" spans="1:19" x14ac:dyDescent="0.25">
      <c r="A179" t="s">
        <v>222</v>
      </c>
      <c r="B179" t="s">
        <v>31</v>
      </c>
      <c r="C179" t="s">
        <v>21</v>
      </c>
      <c r="D179">
        <v>919025</v>
      </c>
      <c r="E179">
        <v>60</v>
      </c>
      <c r="F179">
        <v>49</v>
      </c>
      <c r="G179" t="s">
        <v>56</v>
      </c>
      <c r="H179">
        <v>1</v>
      </c>
      <c r="I179" t="s">
        <v>35</v>
      </c>
      <c r="J179" t="str">
        <f>IF(E179&gt;30,"High",IF(E179&gt;10,"Medium","Low"))</f>
        <v>High</v>
      </c>
      <c r="K179" t="str">
        <f>IF(F179&gt;90,"High",IF(F179&gt;75,"Medium","Low"))</f>
        <v>Low</v>
      </c>
      <c r="L179" t="str">
        <f>IF(G179="Declining","High","Low")</f>
        <v>Low</v>
      </c>
      <c r="M179" t="str">
        <f>IF(H179&gt;=3,"High",IF(H179=1,"Medium","Low"))</f>
        <v>Medium</v>
      </c>
      <c r="N179">
        <f>IF(J179="high",2,IF(J179="Medium",1,0))</f>
        <v>2</v>
      </c>
      <c r="O179">
        <f>IF(K179="high",2,IF(K179="medium",1,0))</f>
        <v>0</v>
      </c>
      <c r="P179">
        <f>IF(L179="high",2,0)</f>
        <v>0</v>
      </c>
      <c r="Q179">
        <f>IF(M179="high",2,IF(M179="medium",1,0))</f>
        <v>1</v>
      </c>
      <c r="R179">
        <f>SUM(N179:Q179)</f>
        <v>3</v>
      </c>
      <c r="S179" t="str">
        <f>IF(R179&gt;=5,"High Risk",IF(R179&gt;=3, "Medium Risk", "Low Risk"))</f>
        <v>Medium Risk</v>
      </c>
    </row>
    <row r="180" spans="1:19" x14ac:dyDescent="0.25">
      <c r="A180" t="s">
        <v>223</v>
      </c>
      <c r="B180" t="s">
        <v>20</v>
      </c>
      <c r="C180" t="s">
        <v>21</v>
      </c>
      <c r="D180">
        <v>287037</v>
      </c>
      <c r="E180">
        <v>15</v>
      </c>
      <c r="F180">
        <v>47</v>
      </c>
      <c r="G180" t="s">
        <v>68</v>
      </c>
      <c r="H180">
        <v>4</v>
      </c>
      <c r="I180" t="s">
        <v>35</v>
      </c>
      <c r="J180" t="str">
        <f>IF(E180&gt;30,"High",IF(E180&gt;10,"Medium","Low"))</f>
        <v>Medium</v>
      </c>
      <c r="K180" t="str">
        <f>IF(F180&gt;90,"High",IF(F180&gt;75,"Medium","Low"))</f>
        <v>Low</v>
      </c>
      <c r="L180" t="str">
        <f>IF(G180="Declining","High","Low")</f>
        <v>Low</v>
      </c>
      <c r="M180" t="str">
        <f>IF(H180&gt;=3,"High",IF(H180=1,"Medium","Low"))</f>
        <v>High</v>
      </c>
      <c r="N180">
        <f>IF(J180="high",2,IF(J180="Medium",1,0))</f>
        <v>1</v>
      </c>
      <c r="O180">
        <f>IF(K180="high",2,IF(K180="medium",1,0))</f>
        <v>0</v>
      </c>
      <c r="P180">
        <f>IF(L180="high",2,0)</f>
        <v>0</v>
      </c>
      <c r="Q180">
        <f>IF(M180="high",2,IF(M180="medium",1,0))</f>
        <v>2</v>
      </c>
      <c r="R180">
        <f>SUM(N180:Q180)</f>
        <v>3</v>
      </c>
      <c r="S180" t="str">
        <f>IF(R180&gt;=5,"High Risk",IF(R180&gt;=3, "Medium Risk", "Low Risk"))</f>
        <v>Medium Risk</v>
      </c>
    </row>
    <row r="181" spans="1:19" x14ac:dyDescent="0.25">
      <c r="A181" t="s">
        <v>224</v>
      </c>
      <c r="B181" t="s">
        <v>20</v>
      </c>
      <c r="C181" t="s">
        <v>34</v>
      </c>
      <c r="D181">
        <v>1266246</v>
      </c>
      <c r="E181">
        <v>57</v>
      </c>
      <c r="F181">
        <v>77</v>
      </c>
      <c r="G181" t="s">
        <v>68</v>
      </c>
      <c r="H181">
        <v>2</v>
      </c>
      <c r="I181" t="s">
        <v>35</v>
      </c>
      <c r="J181" t="str">
        <f>IF(E181&gt;30,"High",IF(E181&gt;10,"Medium","Low"))</f>
        <v>High</v>
      </c>
      <c r="K181" t="str">
        <f>IF(F181&gt;90,"High",IF(F181&gt;75,"Medium","Low"))</f>
        <v>Medium</v>
      </c>
      <c r="L181" t="str">
        <f>IF(G181="Declining","High","Low")</f>
        <v>Low</v>
      </c>
      <c r="M181" t="str">
        <f>IF(H181&gt;=3,"High",IF(H181=1,"Medium","Low"))</f>
        <v>Low</v>
      </c>
      <c r="N181">
        <f>IF(J181="high",2,IF(J181="Medium",1,0))</f>
        <v>2</v>
      </c>
      <c r="O181">
        <f>IF(K181="high",2,IF(K181="medium",1,0))</f>
        <v>1</v>
      </c>
      <c r="P181">
        <f>IF(L181="high",2,0)</f>
        <v>0</v>
      </c>
      <c r="Q181">
        <f>IF(M181="high",2,IF(M181="medium",1,0))</f>
        <v>0</v>
      </c>
      <c r="R181">
        <f>SUM(N181:Q181)</f>
        <v>3</v>
      </c>
      <c r="S181" t="str">
        <f>IF(R181&gt;=5,"High Risk",IF(R181&gt;=3, "Medium Risk", "Low Risk"))</f>
        <v>Medium Risk</v>
      </c>
    </row>
    <row r="182" spans="1:19" x14ac:dyDescent="0.25">
      <c r="A182" t="s">
        <v>225</v>
      </c>
      <c r="B182" t="s">
        <v>31</v>
      </c>
      <c r="C182" t="s">
        <v>28</v>
      </c>
      <c r="D182">
        <v>1113083</v>
      </c>
      <c r="E182">
        <v>23</v>
      </c>
      <c r="F182">
        <v>62</v>
      </c>
      <c r="G182" t="s">
        <v>22</v>
      </c>
      <c r="H182">
        <v>2</v>
      </c>
      <c r="I182" t="s">
        <v>23</v>
      </c>
      <c r="J182" t="str">
        <f>IF(E182&gt;30,"High",IF(E182&gt;10,"Medium","Low"))</f>
        <v>Medium</v>
      </c>
      <c r="K182" t="str">
        <f>IF(F182&gt;90,"High",IF(F182&gt;75,"Medium","Low"))</f>
        <v>Low</v>
      </c>
      <c r="L182" t="str">
        <f>IF(G182="Declining","High","Low")</f>
        <v>High</v>
      </c>
      <c r="M182" t="str">
        <f>IF(H182&gt;=3,"High",IF(H182=1,"Medium","Low"))</f>
        <v>Low</v>
      </c>
      <c r="N182">
        <f>IF(J182="high",2,IF(J182="Medium",1,0))</f>
        <v>1</v>
      </c>
      <c r="O182">
        <f>IF(K182="high",2,IF(K182="medium",1,0))</f>
        <v>0</v>
      </c>
      <c r="P182">
        <f>IF(L182="high",2,0)</f>
        <v>2</v>
      </c>
      <c r="Q182">
        <f>IF(M182="high",2,IF(M182="medium",1,0))</f>
        <v>0</v>
      </c>
      <c r="R182">
        <f>SUM(N182:Q182)</f>
        <v>3</v>
      </c>
      <c r="S182" t="str">
        <f>IF(R182&gt;=5,"High Risk",IF(R182&gt;=3, "Medium Risk", "Low Risk"))</f>
        <v>Medium Risk</v>
      </c>
    </row>
    <row r="183" spans="1:19" x14ac:dyDescent="0.25">
      <c r="A183" t="s">
        <v>226</v>
      </c>
      <c r="B183" t="s">
        <v>31</v>
      </c>
      <c r="C183" t="s">
        <v>34</v>
      </c>
      <c r="D183">
        <v>244633</v>
      </c>
      <c r="E183">
        <v>12</v>
      </c>
      <c r="F183">
        <v>51</v>
      </c>
      <c r="G183" t="s">
        <v>22</v>
      </c>
      <c r="H183">
        <v>0</v>
      </c>
      <c r="I183" t="s">
        <v>35</v>
      </c>
      <c r="J183" t="str">
        <f>IF(E183&gt;30,"High",IF(E183&gt;10,"Medium","Low"))</f>
        <v>Medium</v>
      </c>
      <c r="K183" t="str">
        <f>IF(F183&gt;90,"High",IF(F183&gt;75,"Medium","Low"))</f>
        <v>Low</v>
      </c>
      <c r="L183" t="str">
        <f>IF(G183="Declining","High","Low")</f>
        <v>High</v>
      </c>
      <c r="M183" t="str">
        <f>IF(H183&gt;=3,"High",IF(H183=1,"Medium","Low"))</f>
        <v>Low</v>
      </c>
      <c r="N183">
        <f>IF(J183="high",2,IF(J183="Medium",1,0))</f>
        <v>1</v>
      </c>
      <c r="O183">
        <f>IF(K183="high",2,IF(K183="medium",1,0))</f>
        <v>0</v>
      </c>
      <c r="P183">
        <f>IF(L183="high",2,0)</f>
        <v>2</v>
      </c>
      <c r="Q183">
        <f>IF(M183="high",2,IF(M183="medium",1,0))</f>
        <v>0</v>
      </c>
      <c r="R183">
        <f>SUM(N183:Q183)</f>
        <v>3</v>
      </c>
      <c r="S183" t="str">
        <f>IF(R183&gt;=5,"High Risk",IF(R183&gt;=3, "Medium Risk", "Low Risk"))</f>
        <v>Medium Risk</v>
      </c>
    </row>
    <row r="184" spans="1:19" x14ac:dyDescent="0.25">
      <c r="A184" t="s">
        <v>227</v>
      </c>
      <c r="B184" t="s">
        <v>38</v>
      </c>
      <c r="C184" t="s">
        <v>21</v>
      </c>
      <c r="D184">
        <v>964614</v>
      </c>
      <c r="E184">
        <v>25</v>
      </c>
      <c r="F184">
        <v>45</v>
      </c>
      <c r="G184" t="s">
        <v>68</v>
      </c>
      <c r="H184">
        <v>3</v>
      </c>
      <c r="I184" t="s">
        <v>24</v>
      </c>
      <c r="J184" t="str">
        <f>IF(E184&gt;30,"High",IF(E184&gt;10,"Medium","Low"))</f>
        <v>Medium</v>
      </c>
      <c r="K184" t="str">
        <f>IF(F184&gt;90,"High",IF(F184&gt;75,"Medium","Low"))</f>
        <v>Low</v>
      </c>
      <c r="L184" t="str">
        <f>IF(G184="Declining","High","Low")</f>
        <v>Low</v>
      </c>
      <c r="M184" t="str">
        <f>IF(H184&gt;=3,"High",IF(H184=1,"Medium","Low"))</f>
        <v>High</v>
      </c>
      <c r="N184">
        <f>IF(J184="high",2,IF(J184="Medium",1,0))</f>
        <v>1</v>
      </c>
      <c r="O184">
        <f>IF(K184="high",2,IF(K184="medium",1,0))</f>
        <v>0</v>
      </c>
      <c r="P184">
        <f>IF(L184="high",2,0)</f>
        <v>0</v>
      </c>
      <c r="Q184">
        <f>IF(M184="high",2,IF(M184="medium",1,0))</f>
        <v>2</v>
      </c>
      <c r="R184">
        <f>SUM(N184:Q184)</f>
        <v>3</v>
      </c>
      <c r="S184" t="str">
        <f>IF(R184&gt;=5,"High Risk",IF(R184&gt;=3, "Medium Risk", "Low Risk"))</f>
        <v>Medium Risk</v>
      </c>
    </row>
    <row r="185" spans="1:19" x14ac:dyDescent="0.25">
      <c r="A185" t="s">
        <v>228</v>
      </c>
      <c r="B185" t="s">
        <v>31</v>
      </c>
      <c r="C185" t="s">
        <v>42</v>
      </c>
      <c r="D185">
        <v>312639</v>
      </c>
      <c r="E185">
        <v>49</v>
      </c>
      <c r="F185">
        <v>85</v>
      </c>
      <c r="G185" t="s">
        <v>68</v>
      </c>
      <c r="H185">
        <v>2</v>
      </c>
      <c r="I185" t="s">
        <v>23</v>
      </c>
      <c r="J185" t="str">
        <f>IF(E185&gt;30,"High",IF(E185&gt;10,"Medium","Low"))</f>
        <v>High</v>
      </c>
      <c r="K185" t="str">
        <f>IF(F185&gt;90,"High",IF(F185&gt;75,"Medium","Low"))</f>
        <v>Medium</v>
      </c>
      <c r="L185" t="str">
        <f>IF(G185="Declining","High","Low")</f>
        <v>Low</v>
      </c>
      <c r="M185" t="str">
        <f>IF(H185&gt;=3,"High",IF(H185=1,"Medium","Low"))</f>
        <v>Low</v>
      </c>
      <c r="N185">
        <f>IF(J185="high",2,IF(J185="Medium",1,0))</f>
        <v>2</v>
      </c>
      <c r="O185">
        <f>IF(K185="high",2,IF(K185="medium",1,0))</f>
        <v>1</v>
      </c>
      <c r="P185">
        <f>IF(L185="high",2,0)</f>
        <v>0</v>
      </c>
      <c r="Q185">
        <f>IF(M185="high",2,IF(M185="medium",1,0))</f>
        <v>0</v>
      </c>
      <c r="R185">
        <f>SUM(N185:Q185)</f>
        <v>3</v>
      </c>
      <c r="S185" t="str">
        <f>IF(R185&gt;=5,"High Risk",IF(R185&gt;=3, "Medium Risk", "Low Risk"))</f>
        <v>Medium Risk</v>
      </c>
    </row>
    <row r="186" spans="1:19" x14ac:dyDescent="0.25">
      <c r="A186" t="s">
        <v>229</v>
      </c>
      <c r="B186" t="s">
        <v>41</v>
      </c>
      <c r="C186" t="s">
        <v>21</v>
      </c>
      <c r="D186">
        <v>188767</v>
      </c>
      <c r="E186">
        <v>30</v>
      </c>
      <c r="F186">
        <v>56</v>
      </c>
      <c r="G186" t="s">
        <v>56</v>
      </c>
      <c r="H186">
        <v>3</v>
      </c>
      <c r="I186" t="s">
        <v>23</v>
      </c>
      <c r="J186" t="str">
        <f>IF(E186&gt;30,"High",IF(E186&gt;10,"Medium","Low"))</f>
        <v>Medium</v>
      </c>
      <c r="K186" t="str">
        <f>IF(F186&gt;90,"High",IF(F186&gt;75,"Medium","Low"))</f>
        <v>Low</v>
      </c>
      <c r="L186" t="str">
        <f>IF(G186="Declining","High","Low")</f>
        <v>Low</v>
      </c>
      <c r="M186" t="str">
        <f>IF(H186&gt;=3,"High",IF(H186=1,"Medium","Low"))</f>
        <v>High</v>
      </c>
      <c r="N186">
        <f>IF(J186="high",2,IF(J186="Medium",1,0))</f>
        <v>1</v>
      </c>
      <c r="O186">
        <f>IF(K186="high",2,IF(K186="medium",1,0))</f>
        <v>0</v>
      </c>
      <c r="P186">
        <f>IF(L186="high",2,0)</f>
        <v>0</v>
      </c>
      <c r="Q186">
        <f>IF(M186="high",2,IF(M186="medium",1,0))</f>
        <v>2</v>
      </c>
      <c r="R186">
        <f>SUM(N186:Q186)</f>
        <v>3</v>
      </c>
      <c r="S186" t="str">
        <f>IF(R186&gt;=5,"High Risk",IF(R186&gt;=3, "Medium Risk", "Low Risk"))</f>
        <v>Medium Risk</v>
      </c>
    </row>
    <row r="187" spans="1:19" x14ac:dyDescent="0.25">
      <c r="A187" t="s">
        <v>230</v>
      </c>
      <c r="B187" t="s">
        <v>31</v>
      </c>
      <c r="C187" t="s">
        <v>42</v>
      </c>
      <c r="D187">
        <v>291408</v>
      </c>
      <c r="E187">
        <v>16</v>
      </c>
      <c r="F187">
        <v>55</v>
      </c>
      <c r="G187" t="s">
        <v>68</v>
      </c>
      <c r="H187">
        <v>5</v>
      </c>
      <c r="I187" t="s">
        <v>23</v>
      </c>
      <c r="J187" t="str">
        <f>IF(E187&gt;30,"High",IF(E187&gt;10,"Medium","Low"))</f>
        <v>Medium</v>
      </c>
      <c r="K187" t="str">
        <f>IF(F187&gt;90,"High",IF(F187&gt;75,"Medium","Low"))</f>
        <v>Low</v>
      </c>
      <c r="L187" t="str">
        <f>IF(G187="Declining","High","Low")</f>
        <v>Low</v>
      </c>
      <c r="M187" t="str">
        <f>IF(H187&gt;=3,"High",IF(H187=1,"Medium","Low"))</f>
        <v>High</v>
      </c>
      <c r="N187">
        <f>IF(J187="high",2,IF(J187="Medium",1,0))</f>
        <v>1</v>
      </c>
      <c r="O187">
        <f>IF(K187="high",2,IF(K187="medium",1,0))</f>
        <v>0</v>
      </c>
      <c r="P187">
        <f>IF(L187="high",2,0)</f>
        <v>0</v>
      </c>
      <c r="Q187">
        <f>IF(M187="high",2,IF(M187="medium",1,0))</f>
        <v>2</v>
      </c>
      <c r="R187">
        <f>SUM(N187:Q187)</f>
        <v>3</v>
      </c>
      <c r="S187" t="str">
        <f>IF(R187&gt;=5,"High Risk",IF(R187&gt;=3, "Medium Risk", "Low Risk"))</f>
        <v>Medium Risk</v>
      </c>
    </row>
    <row r="188" spans="1:19" x14ac:dyDescent="0.25">
      <c r="A188" t="s">
        <v>231</v>
      </c>
      <c r="B188" t="s">
        <v>20</v>
      </c>
      <c r="C188" t="s">
        <v>34</v>
      </c>
      <c r="D188">
        <v>227073</v>
      </c>
      <c r="E188">
        <v>29</v>
      </c>
      <c r="F188">
        <v>61</v>
      </c>
      <c r="G188" t="s">
        <v>68</v>
      </c>
      <c r="H188">
        <v>5</v>
      </c>
      <c r="I188" t="s">
        <v>24</v>
      </c>
      <c r="J188" t="str">
        <f>IF(E188&gt;30,"High",IF(E188&gt;10,"Medium","Low"))</f>
        <v>Medium</v>
      </c>
      <c r="K188" t="str">
        <f>IF(F188&gt;90,"High",IF(F188&gt;75,"Medium","Low"))</f>
        <v>Low</v>
      </c>
      <c r="L188" t="str">
        <f>IF(G188="Declining","High","Low")</f>
        <v>Low</v>
      </c>
      <c r="M188" t="str">
        <f>IF(H188&gt;=3,"High",IF(H188=1,"Medium","Low"))</f>
        <v>High</v>
      </c>
      <c r="N188">
        <f>IF(J188="high",2,IF(J188="Medium",1,0))</f>
        <v>1</v>
      </c>
      <c r="O188">
        <f>IF(K188="high",2,IF(K188="medium",1,0))</f>
        <v>0</v>
      </c>
      <c r="P188">
        <f>IF(L188="high",2,0)</f>
        <v>0</v>
      </c>
      <c r="Q188">
        <f>IF(M188="high",2,IF(M188="medium",1,0))</f>
        <v>2</v>
      </c>
      <c r="R188">
        <f>SUM(N188:Q188)</f>
        <v>3</v>
      </c>
      <c r="S188" t="str">
        <f>IF(R188&gt;=5,"High Risk",IF(R188&gt;=3, "Medium Risk", "Low Risk"))</f>
        <v>Medium Risk</v>
      </c>
    </row>
    <row r="189" spans="1:19" x14ac:dyDescent="0.25">
      <c r="A189" t="s">
        <v>232</v>
      </c>
      <c r="B189" t="s">
        <v>38</v>
      </c>
      <c r="C189" t="s">
        <v>42</v>
      </c>
      <c r="D189">
        <v>440818</v>
      </c>
      <c r="E189">
        <v>25</v>
      </c>
      <c r="F189">
        <v>77</v>
      </c>
      <c r="G189" t="s">
        <v>68</v>
      </c>
      <c r="H189">
        <v>1</v>
      </c>
      <c r="I189" t="s">
        <v>23</v>
      </c>
      <c r="J189" t="str">
        <f>IF(E189&gt;30,"High",IF(E189&gt;10,"Medium","Low"))</f>
        <v>Medium</v>
      </c>
      <c r="K189" t="str">
        <f>IF(F189&gt;90,"High",IF(F189&gt;75,"Medium","Low"))</f>
        <v>Medium</v>
      </c>
      <c r="L189" t="str">
        <f>IF(G189="Declining","High","Low")</f>
        <v>Low</v>
      </c>
      <c r="M189" t="str">
        <f>IF(H189&gt;=3,"High",IF(H189=1,"Medium","Low"))</f>
        <v>Medium</v>
      </c>
      <c r="N189">
        <f>IF(J189="high",2,IF(J189="Medium",1,0))</f>
        <v>1</v>
      </c>
      <c r="O189">
        <f>IF(K189="high",2,IF(K189="medium",1,0))</f>
        <v>1</v>
      </c>
      <c r="P189">
        <f>IF(L189="high",2,0)</f>
        <v>0</v>
      </c>
      <c r="Q189">
        <f>IF(M189="high",2,IF(M189="medium",1,0))</f>
        <v>1</v>
      </c>
      <c r="R189">
        <f>SUM(N189:Q189)</f>
        <v>3</v>
      </c>
      <c r="S189" t="str">
        <f>IF(R189&gt;=5,"High Risk",IF(R189&gt;=3, "Medium Risk", "Low Risk"))</f>
        <v>Medium Risk</v>
      </c>
    </row>
    <row r="190" spans="1:19" x14ac:dyDescent="0.25">
      <c r="A190" t="s">
        <v>233</v>
      </c>
      <c r="B190" t="s">
        <v>20</v>
      </c>
      <c r="C190" t="s">
        <v>42</v>
      </c>
      <c r="D190">
        <v>401142</v>
      </c>
      <c r="E190">
        <v>5</v>
      </c>
      <c r="F190">
        <v>86</v>
      </c>
      <c r="G190" t="s">
        <v>56</v>
      </c>
      <c r="H190">
        <v>4</v>
      </c>
      <c r="I190" t="s">
        <v>24</v>
      </c>
      <c r="J190" t="str">
        <f>IF(E190&gt;30,"High",IF(E190&gt;10,"Medium","Low"))</f>
        <v>Low</v>
      </c>
      <c r="K190" t="str">
        <f>IF(F190&gt;90,"High",IF(F190&gt;75,"Medium","Low"))</f>
        <v>Medium</v>
      </c>
      <c r="L190" t="str">
        <f>IF(G190="Declining","High","Low")</f>
        <v>Low</v>
      </c>
      <c r="M190" t="str">
        <f>IF(H190&gt;=3,"High",IF(H190=1,"Medium","Low"))</f>
        <v>High</v>
      </c>
      <c r="N190">
        <f>IF(J190="high",2,IF(J190="Medium",1,0))</f>
        <v>0</v>
      </c>
      <c r="O190">
        <f>IF(K190="high",2,IF(K190="medium",1,0))</f>
        <v>1</v>
      </c>
      <c r="P190">
        <f>IF(L190="high",2,0)</f>
        <v>0</v>
      </c>
      <c r="Q190">
        <f>IF(M190="high",2,IF(M190="medium",1,0))</f>
        <v>2</v>
      </c>
      <c r="R190">
        <f>SUM(N190:Q190)</f>
        <v>3</v>
      </c>
      <c r="S190" t="str">
        <f>IF(R190&gt;=5,"High Risk",IF(R190&gt;=3, "Medium Risk", "Low Risk"))</f>
        <v>Medium Risk</v>
      </c>
    </row>
    <row r="191" spans="1:19" x14ac:dyDescent="0.25">
      <c r="A191" t="s">
        <v>234</v>
      </c>
      <c r="B191" t="s">
        <v>41</v>
      </c>
      <c r="C191" t="s">
        <v>34</v>
      </c>
      <c r="D191">
        <v>1443358</v>
      </c>
      <c r="E191">
        <v>5</v>
      </c>
      <c r="F191">
        <v>82</v>
      </c>
      <c r="G191" t="s">
        <v>68</v>
      </c>
      <c r="H191">
        <v>5</v>
      </c>
      <c r="I191" t="s">
        <v>23</v>
      </c>
      <c r="J191" t="str">
        <f>IF(E191&gt;30,"High",IF(E191&gt;10,"Medium","Low"))</f>
        <v>Low</v>
      </c>
      <c r="K191" t="str">
        <f>IF(F191&gt;90,"High",IF(F191&gt;75,"Medium","Low"))</f>
        <v>Medium</v>
      </c>
      <c r="L191" t="str">
        <f>IF(G191="Declining","High","Low")</f>
        <v>Low</v>
      </c>
      <c r="M191" t="str">
        <f>IF(H191&gt;=3,"High",IF(H191=1,"Medium","Low"))</f>
        <v>High</v>
      </c>
      <c r="N191">
        <f>IF(J191="high",2,IF(J191="Medium",1,0))</f>
        <v>0</v>
      </c>
      <c r="O191">
        <f>IF(K191="high",2,IF(K191="medium",1,0))</f>
        <v>1</v>
      </c>
      <c r="P191">
        <f>IF(L191="high",2,0)</f>
        <v>0</v>
      </c>
      <c r="Q191">
        <f>IF(M191="high",2,IF(M191="medium",1,0))</f>
        <v>2</v>
      </c>
      <c r="R191">
        <f>SUM(N191:Q191)</f>
        <v>3</v>
      </c>
      <c r="S191" t="str">
        <f>IF(R191&gt;=5,"High Risk",IF(R191&gt;=3, "Medium Risk", "Low Risk"))</f>
        <v>Medium Risk</v>
      </c>
    </row>
    <row r="192" spans="1:19" x14ac:dyDescent="0.25">
      <c r="A192" t="s">
        <v>235</v>
      </c>
      <c r="B192" t="s">
        <v>31</v>
      </c>
      <c r="C192" t="s">
        <v>54</v>
      </c>
      <c r="D192">
        <v>1436561</v>
      </c>
      <c r="E192">
        <v>25</v>
      </c>
      <c r="F192">
        <v>53</v>
      </c>
      <c r="G192" t="s">
        <v>56</v>
      </c>
      <c r="H192">
        <v>5</v>
      </c>
      <c r="I192" t="s">
        <v>24</v>
      </c>
      <c r="J192" t="str">
        <f>IF(E192&gt;30,"High",IF(E192&gt;10,"Medium","Low"))</f>
        <v>Medium</v>
      </c>
      <c r="K192" t="str">
        <f>IF(F192&gt;90,"High",IF(F192&gt;75,"Medium","Low"))</f>
        <v>Low</v>
      </c>
      <c r="L192" t="str">
        <f>IF(G192="Declining","High","Low")</f>
        <v>Low</v>
      </c>
      <c r="M192" t="str">
        <f>IF(H192&gt;=3,"High",IF(H192=1,"Medium","Low"))</f>
        <v>High</v>
      </c>
      <c r="N192">
        <f>IF(J192="high",2,IF(J192="Medium",1,0))</f>
        <v>1</v>
      </c>
      <c r="O192">
        <f>IF(K192="high",2,IF(K192="medium",1,0))</f>
        <v>0</v>
      </c>
      <c r="P192">
        <f>IF(L192="high",2,0)</f>
        <v>0</v>
      </c>
      <c r="Q192">
        <f>IF(M192="high",2,IF(M192="medium",1,0))</f>
        <v>2</v>
      </c>
      <c r="R192">
        <f>SUM(N192:Q192)</f>
        <v>3</v>
      </c>
      <c r="S192" t="str">
        <f>IF(R192&gt;=5,"High Risk",IF(R192&gt;=3, "Medium Risk", "Low Risk"))</f>
        <v>Medium Risk</v>
      </c>
    </row>
    <row r="193" spans="1:19" x14ac:dyDescent="0.25">
      <c r="A193" t="s">
        <v>236</v>
      </c>
      <c r="B193" t="s">
        <v>31</v>
      </c>
      <c r="C193" t="s">
        <v>34</v>
      </c>
      <c r="D193">
        <v>261279</v>
      </c>
      <c r="E193">
        <v>9</v>
      </c>
      <c r="F193">
        <v>76</v>
      </c>
      <c r="G193" t="s">
        <v>68</v>
      </c>
      <c r="H193">
        <v>5</v>
      </c>
      <c r="I193" t="s">
        <v>23</v>
      </c>
      <c r="J193" t="str">
        <f>IF(E193&gt;30,"High",IF(E193&gt;10,"Medium","Low"))</f>
        <v>Low</v>
      </c>
      <c r="K193" t="str">
        <f>IF(F193&gt;90,"High",IF(F193&gt;75,"Medium","Low"))</f>
        <v>Medium</v>
      </c>
      <c r="L193" t="str">
        <f>IF(G193="Declining","High","Low")</f>
        <v>Low</v>
      </c>
      <c r="M193" t="str">
        <f>IF(H193&gt;=3,"High",IF(H193=1,"Medium","Low"))</f>
        <v>High</v>
      </c>
      <c r="N193">
        <f>IF(J193="high",2,IF(J193="Medium",1,0))</f>
        <v>0</v>
      </c>
      <c r="O193">
        <f>IF(K193="high",2,IF(K193="medium",1,0))</f>
        <v>1</v>
      </c>
      <c r="P193">
        <f>IF(L193="high",2,0)</f>
        <v>0</v>
      </c>
      <c r="Q193">
        <f>IF(M193="high",2,IF(M193="medium",1,0))</f>
        <v>2</v>
      </c>
      <c r="R193">
        <f>SUM(N193:Q193)</f>
        <v>3</v>
      </c>
      <c r="S193" t="str">
        <f>IF(R193&gt;=5,"High Risk",IF(R193&gt;=3, "Medium Risk", "Low Risk"))</f>
        <v>Medium Risk</v>
      </c>
    </row>
    <row r="194" spans="1:19" x14ac:dyDescent="0.25">
      <c r="A194" t="s">
        <v>237</v>
      </c>
      <c r="B194" t="s">
        <v>20</v>
      </c>
      <c r="C194" t="s">
        <v>21</v>
      </c>
      <c r="D194">
        <v>1007821</v>
      </c>
      <c r="E194">
        <v>6</v>
      </c>
      <c r="F194">
        <v>89</v>
      </c>
      <c r="G194" t="s">
        <v>22</v>
      </c>
      <c r="H194">
        <v>0</v>
      </c>
      <c r="I194" t="s">
        <v>24</v>
      </c>
      <c r="J194" t="str">
        <f>IF(E194&gt;30,"High",IF(E194&gt;10,"Medium","Low"))</f>
        <v>Low</v>
      </c>
      <c r="K194" t="str">
        <f>IF(F194&gt;90,"High",IF(F194&gt;75,"Medium","Low"))</f>
        <v>Medium</v>
      </c>
      <c r="L194" t="str">
        <f>IF(G194="Declining","High","Low")</f>
        <v>High</v>
      </c>
      <c r="M194" t="str">
        <f>IF(H194&gt;=3,"High",IF(H194=1,"Medium","Low"))</f>
        <v>Low</v>
      </c>
      <c r="N194">
        <f>IF(J194="high",2,IF(J194="Medium",1,0))</f>
        <v>0</v>
      </c>
      <c r="O194">
        <f>IF(K194="high",2,IF(K194="medium",1,0))</f>
        <v>1</v>
      </c>
      <c r="P194">
        <f>IF(L194="high",2,0)</f>
        <v>2</v>
      </c>
      <c r="Q194">
        <f>IF(M194="high",2,IF(M194="medium",1,0))</f>
        <v>0</v>
      </c>
      <c r="R194">
        <f>SUM(N194:Q194)</f>
        <v>3</v>
      </c>
      <c r="S194" t="str">
        <f>IF(R194&gt;=5,"High Risk",IF(R194&gt;=3, "Medium Risk", "Low Risk"))</f>
        <v>Medium Risk</v>
      </c>
    </row>
    <row r="195" spans="1:19" x14ac:dyDescent="0.25">
      <c r="A195" t="s">
        <v>238</v>
      </c>
      <c r="B195" t="s">
        <v>41</v>
      </c>
      <c r="C195" t="s">
        <v>34</v>
      </c>
      <c r="D195">
        <v>815923</v>
      </c>
      <c r="E195">
        <v>56</v>
      </c>
      <c r="F195">
        <v>86</v>
      </c>
      <c r="G195" t="s">
        <v>68</v>
      </c>
      <c r="H195">
        <v>2</v>
      </c>
      <c r="I195" t="s">
        <v>23</v>
      </c>
      <c r="J195" t="str">
        <f>IF(E195&gt;30,"High",IF(E195&gt;10,"Medium","Low"))</f>
        <v>High</v>
      </c>
      <c r="K195" t="str">
        <f>IF(F195&gt;90,"High",IF(F195&gt;75,"Medium","Low"))</f>
        <v>Medium</v>
      </c>
      <c r="L195" t="str">
        <f>IF(G195="Declining","High","Low")</f>
        <v>Low</v>
      </c>
      <c r="M195" t="str">
        <f>IF(H195&gt;=3,"High",IF(H195=1,"Medium","Low"))</f>
        <v>Low</v>
      </c>
      <c r="N195">
        <f>IF(J195="high",2,IF(J195="Medium",1,0))</f>
        <v>2</v>
      </c>
      <c r="O195">
        <f>IF(K195="high",2,IF(K195="medium",1,0))</f>
        <v>1</v>
      </c>
      <c r="P195">
        <f>IF(L195="high",2,0)</f>
        <v>0</v>
      </c>
      <c r="Q195">
        <f>IF(M195="high",2,IF(M195="medium",1,0))</f>
        <v>0</v>
      </c>
      <c r="R195">
        <f>SUM(N195:Q195)</f>
        <v>3</v>
      </c>
      <c r="S195" t="str">
        <f>IF(R195&gt;=5,"High Risk",IF(R195&gt;=3, "Medium Risk", "Low Risk"))</f>
        <v>Medium Risk</v>
      </c>
    </row>
    <row r="196" spans="1:19" x14ac:dyDescent="0.25">
      <c r="A196" t="s">
        <v>239</v>
      </c>
      <c r="B196" t="s">
        <v>31</v>
      </c>
      <c r="C196" t="s">
        <v>21</v>
      </c>
      <c r="D196">
        <v>81462</v>
      </c>
      <c r="E196">
        <v>15</v>
      </c>
      <c r="F196">
        <v>45</v>
      </c>
      <c r="G196" t="s">
        <v>56</v>
      </c>
      <c r="H196">
        <v>4</v>
      </c>
      <c r="I196" t="s">
        <v>23</v>
      </c>
      <c r="J196" t="str">
        <f>IF(E196&gt;30,"High",IF(E196&gt;10,"Medium","Low"))</f>
        <v>Medium</v>
      </c>
      <c r="K196" t="str">
        <f>IF(F196&gt;90,"High",IF(F196&gt;75,"Medium","Low"))</f>
        <v>Low</v>
      </c>
      <c r="L196" t="str">
        <f>IF(G196="Declining","High","Low")</f>
        <v>Low</v>
      </c>
      <c r="M196" t="str">
        <f>IF(H196&gt;=3,"High",IF(H196=1,"Medium","Low"))</f>
        <v>High</v>
      </c>
      <c r="N196">
        <f>IF(J196="high",2,IF(J196="Medium",1,0))</f>
        <v>1</v>
      </c>
      <c r="O196">
        <f>IF(K196="high",2,IF(K196="medium",1,0))</f>
        <v>0</v>
      </c>
      <c r="P196">
        <f>IF(L196="high",2,0)</f>
        <v>0</v>
      </c>
      <c r="Q196">
        <f>IF(M196="high",2,IF(M196="medium",1,0))</f>
        <v>2</v>
      </c>
      <c r="R196">
        <f>SUM(N196:Q196)</f>
        <v>3</v>
      </c>
      <c r="S196" t="str">
        <f>IF(R196&gt;=5,"High Risk",IF(R196&gt;=3, "Medium Risk", "Low Risk"))</f>
        <v>Medium Risk</v>
      </c>
    </row>
    <row r="197" spans="1:19" x14ac:dyDescent="0.25">
      <c r="A197" t="s">
        <v>240</v>
      </c>
      <c r="B197" t="s">
        <v>31</v>
      </c>
      <c r="C197" t="s">
        <v>54</v>
      </c>
      <c r="D197">
        <v>221525</v>
      </c>
      <c r="E197">
        <v>4</v>
      </c>
      <c r="F197">
        <v>88</v>
      </c>
      <c r="G197" t="s">
        <v>68</v>
      </c>
      <c r="H197">
        <v>3</v>
      </c>
      <c r="I197" t="s">
        <v>24</v>
      </c>
      <c r="J197" t="str">
        <f>IF(E197&gt;30,"High",IF(E197&gt;10,"Medium","Low"))</f>
        <v>Low</v>
      </c>
      <c r="K197" t="str">
        <f>IF(F197&gt;90,"High",IF(F197&gt;75,"Medium","Low"))</f>
        <v>Medium</v>
      </c>
      <c r="L197" t="str">
        <f>IF(G197="Declining","High","Low")</f>
        <v>Low</v>
      </c>
      <c r="M197" t="str">
        <f>IF(H197&gt;=3,"High",IF(H197=1,"Medium","Low"))</f>
        <v>High</v>
      </c>
      <c r="N197">
        <f>IF(J197="high",2,IF(J197="Medium",1,0))</f>
        <v>0</v>
      </c>
      <c r="O197">
        <f>IF(K197="high",2,IF(K197="medium",1,0))</f>
        <v>1</v>
      </c>
      <c r="P197">
        <f>IF(L197="high",2,0)</f>
        <v>0</v>
      </c>
      <c r="Q197">
        <f>IF(M197="high",2,IF(M197="medium",1,0))</f>
        <v>2</v>
      </c>
      <c r="R197">
        <f>SUM(N197:Q197)</f>
        <v>3</v>
      </c>
      <c r="S197" t="str">
        <f>IF(R197&gt;=5,"High Risk",IF(R197&gt;=3, "Medium Risk", "Low Risk"))</f>
        <v>Medium Risk</v>
      </c>
    </row>
    <row r="198" spans="1:19" x14ac:dyDescent="0.25">
      <c r="A198" t="s">
        <v>241</v>
      </c>
      <c r="B198" t="s">
        <v>41</v>
      </c>
      <c r="C198" t="s">
        <v>42</v>
      </c>
      <c r="D198">
        <v>1373944</v>
      </c>
      <c r="E198">
        <v>26</v>
      </c>
      <c r="F198">
        <v>52</v>
      </c>
      <c r="G198" t="s">
        <v>22</v>
      </c>
      <c r="H198">
        <v>2</v>
      </c>
      <c r="I198" t="s">
        <v>35</v>
      </c>
      <c r="J198" t="str">
        <f>IF(E198&gt;30,"High",IF(E198&gt;10,"Medium","Low"))</f>
        <v>Medium</v>
      </c>
      <c r="K198" t="str">
        <f>IF(F198&gt;90,"High",IF(F198&gt;75,"Medium","Low"))</f>
        <v>Low</v>
      </c>
      <c r="L198" t="str">
        <f>IF(G198="Declining","High","Low")</f>
        <v>High</v>
      </c>
      <c r="M198" t="str">
        <f>IF(H198&gt;=3,"High",IF(H198=1,"Medium","Low"))</f>
        <v>Low</v>
      </c>
      <c r="N198">
        <f>IF(J198="high",2,IF(J198="Medium",1,0))</f>
        <v>1</v>
      </c>
      <c r="O198">
        <f>IF(K198="high",2,IF(K198="medium",1,0))</f>
        <v>0</v>
      </c>
      <c r="P198">
        <f>IF(L198="high",2,0)</f>
        <v>2</v>
      </c>
      <c r="Q198">
        <f>IF(M198="high",2,IF(M198="medium",1,0))</f>
        <v>0</v>
      </c>
      <c r="R198">
        <f>SUM(N198:Q198)</f>
        <v>3</v>
      </c>
      <c r="S198" t="str">
        <f>IF(R198&gt;=5,"High Risk",IF(R198&gt;=3, "Medium Risk", "Low Risk"))</f>
        <v>Medium Risk</v>
      </c>
    </row>
    <row r="199" spans="1:19" x14ac:dyDescent="0.25">
      <c r="A199" t="s">
        <v>242</v>
      </c>
      <c r="B199" t="s">
        <v>38</v>
      </c>
      <c r="C199" t="s">
        <v>54</v>
      </c>
      <c r="D199">
        <v>904476</v>
      </c>
      <c r="E199">
        <v>27</v>
      </c>
      <c r="F199">
        <v>52</v>
      </c>
      <c r="G199" t="s">
        <v>56</v>
      </c>
      <c r="H199">
        <v>5</v>
      </c>
      <c r="I199" t="s">
        <v>35</v>
      </c>
      <c r="J199" t="str">
        <f>IF(E199&gt;30,"High",IF(E199&gt;10,"Medium","Low"))</f>
        <v>Medium</v>
      </c>
      <c r="K199" t="str">
        <f>IF(F199&gt;90,"High",IF(F199&gt;75,"Medium","Low"))</f>
        <v>Low</v>
      </c>
      <c r="L199" t="str">
        <f>IF(G199="Declining","High","Low")</f>
        <v>Low</v>
      </c>
      <c r="M199" t="str">
        <f>IF(H199&gt;=3,"High",IF(H199=1,"Medium","Low"))</f>
        <v>High</v>
      </c>
      <c r="N199">
        <f>IF(J199="high",2,IF(J199="Medium",1,0))</f>
        <v>1</v>
      </c>
      <c r="O199">
        <f>IF(K199="high",2,IF(K199="medium",1,0))</f>
        <v>0</v>
      </c>
      <c r="P199">
        <f>IF(L199="high",2,0)</f>
        <v>0</v>
      </c>
      <c r="Q199">
        <f>IF(M199="high",2,IF(M199="medium",1,0))</f>
        <v>2</v>
      </c>
      <c r="R199">
        <f>SUM(N199:Q199)</f>
        <v>3</v>
      </c>
      <c r="S199" t="str">
        <f>IF(R199&gt;=5,"High Risk",IF(R199&gt;=3, "Medium Risk", "Low Risk"))</f>
        <v>Medium Risk</v>
      </c>
    </row>
    <row r="200" spans="1:19" x14ac:dyDescent="0.25">
      <c r="A200" t="s">
        <v>243</v>
      </c>
      <c r="B200" t="s">
        <v>31</v>
      </c>
      <c r="C200" t="s">
        <v>28</v>
      </c>
      <c r="D200">
        <v>544597</v>
      </c>
      <c r="E200">
        <v>27</v>
      </c>
      <c r="F200">
        <v>100</v>
      </c>
      <c r="G200" t="s">
        <v>56</v>
      </c>
      <c r="H200">
        <v>0</v>
      </c>
      <c r="I200" t="s">
        <v>35</v>
      </c>
      <c r="J200" t="str">
        <f>IF(E200&gt;30,"High",IF(E200&gt;10,"Medium","Low"))</f>
        <v>Medium</v>
      </c>
      <c r="K200" t="str">
        <f>IF(F200&gt;90,"High",IF(F200&gt;75,"Medium","Low"))</f>
        <v>High</v>
      </c>
      <c r="L200" t="str">
        <f>IF(G200="Declining","High","Low")</f>
        <v>Low</v>
      </c>
      <c r="M200" t="str">
        <f>IF(H200&gt;=3,"High",IF(H200=1,"Medium","Low"))</f>
        <v>Low</v>
      </c>
      <c r="N200">
        <f>IF(J200="high",2,IF(J200="Medium",1,0))</f>
        <v>1</v>
      </c>
      <c r="O200">
        <f>IF(K200="high",2,IF(K200="medium",1,0))</f>
        <v>2</v>
      </c>
      <c r="P200">
        <f>IF(L200="high",2,0)</f>
        <v>0</v>
      </c>
      <c r="Q200">
        <f>IF(M200="high",2,IF(M200="medium",1,0))</f>
        <v>0</v>
      </c>
      <c r="R200">
        <f>SUM(N200:Q200)</f>
        <v>3</v>
      </c>
      <c r="S200" t="str">
        <f>IF(R200&gt;=5,"High Risk",IF(R200&gt;=3, "Medium Risk", "Low Risk"))</f>
        <v>Medium Risk</v>
      </c>
    </row>
    <row r="201" spans="1:19" x14ac:dyDescent="0.25">
      <c r="A201" t="s">
        <v>244</v>
      </c>
      <c r="B201" t="s">
        <v>20</v>
      </c>
      <c r="C201" t="s">
        <v>21</v>
      </c>
      <c r="D201">
        <v>435448</v>
      </c>
      <c r="E201">
        <v>25</v>
      </c>
      <c r="F201">
        <v>57</v>
      </c>
      <c r="G201" t="s">
        <v>56</v>
      </c>
      <c r="H201">
        <v>3</v>
      </c>
      <c r="I201" t="s">
        <v>35</v>
      </c>
      <c r="J201" t="str">
        <f>IF(E201&gt;30,"High",IF(E201&gt;10,"Medium","Low"))</f>
        <v>Medium</v>
      </c>
      <c r="K201" t="str">
        <f>IF(F201&gt;90,"High",IF(F201&gt;75,"Medium","Low"))</f>
        <v>Low</v>
      </c>
      <c r="L201" t="str">
        <f>IF(G201="Declining","High","Low")</f>
        <v>Low</v>
      </c>
      <c r="M201" t="str">
        <f>IF(H201&gt;=3,"High",IF(H201=1,"Medium","Low"))</f>
        <v>High</v>
      </c>
      <c r="N201">
        <f>IF(J201="high",2,IF(J201="Medium",1,0))</f>
        <v>1</v>
      </c>
      <c r="O201">
        <f>IF(K201="high",2,IF(K201="medium",1,0))</f>
        <v>0</v>
      </c>
      <c r="P201">
        <f>IF(L201="high",2,0)</f>
        <v>0</v>
      </c>
      <c r="Q201">
        <f>IF(M201="high",2,IF(M201="medium",1,0))</f>
        <v>2</v>
      </c>
      <c r="R201">
        <f>SUM(N201:Q201)</f>
        <v>3</v>
      </c>
      <c r="S201" t="str">
        <f>IF(R201&gt;=5,"High Risk",IF(R201&gt;=3, "Medium Risk", "Low Risk"))</f>
        <v>Medium Risk</v>
      </c>
    </row>
    <row r="202" spans="1:19" x14ac:dyDescent="0.25">
      <c r="A202" t="s">
        <v>245</v>
      </c>
      <c r="B202" t="s">
        <v>20</v>
      </c>
      <c r="C202" t="s">
        <v>34</v>
      </c>
      <c r="D202">
        <v>649487</v>
      </c>
      <c r="E202">
        <v>15</v>
      </c>
      <c r="F202">
        <v>57</v>
      </c>
      <c r="G202" t="s">
        <v>56</v>
      </c>
      <c r="H202">
        <v>4</v>
      </c>
      <c r="I202" t="s">
        <v>23</v>
      </c>
      <c r="J202" t="str">
        <f>IF(E202&gt;30,"High",IF(E202&gt;10,"Medium","Low"))</f>
        <v>Medium</v>
      </c>
      <c r="K202" t="str">
        <f>IF(F202&gt;90,"High",IF(F202&gt;75,"Medium","Low"))</f>
        <v>Low</v>
      </c>
      <c r="L202" t="str">
        <f>IF(G202="Declining","High","Low")</f>
        <v>Low</v>
      </c>
      <c r="M202" t="str">
        <f>IF(H202&gt;=3,"High",IF(H202=1,"Medium","Low"))</f>
        <v>High</v>
      </c>
      <c r="N202">
        <f>IF(J202="high",2,IF(J202="Medium",1,0))</f>
        <v>1</v>
      </c>
      <c r="O202">
        <f>IF(K202="high",2,IF(K202="medium",1,0))</f>
        <v>0</v>
      </c>
      <c r="P202">
        <f>IF(L202="high",2,0)</f>
        <v>0</v>
      </c>
      <c r="Q202">
        <f>IF(M202="high",2,IF(M202="medium",1,0))</f>
        <v>2</v>
      </c>
      <c r="R202">
        <f>SUM(N202:Q202)</f>
        <v>3</v>
      </c>
      <c r="S202" t="str">
        <f>IF(R202&gt;=5,"High Risk",IF(R202&gt;=3, "Medium Risk", "Low Risk"))</f>
        <v>Medium Risk</v>
      </c>
    </row>
    <row r="203" spans="1:19" x14ac:dyDescent="0.25">
      <c r="A203" t="s">
        <v>246</v>
      </c>
      <c r="B203" t="s">
        <v>48</v>
      </c>
      <c r="C203" t="s">
        <v>34</v>
      </c>
      <c r="D203">
        <v>1072346</v>
      </c>
      <c r="E203">
        <v>32</v>
      </c>
      <c r="F203">
        <v>76</v>
      </c>
      <c r="G203" t="s">
        <v>68</v>
      </c>
      <c r="H203">
        <v>2</v>
      </c>
      <c r="I203" t="s">
        <v>23</v>
      </c>
      <c r="J203" t="str">
        <f>IF(E203&gt;30,"High",IF(E203&gt;10,"Medium","Low"))</f>
        <v>High</v>
      </c>
      <c r="K203" t="str">
        <f>IF(F203&gt;90,"High",IF(F203&gt;75,"Medium","Low"))</f>
        <v>Medium</v>
      </c>
      <c r="L203" t="str">
        <f>IF(G203="Declining","High","Low")</f>
        <v>Low</v>
      </c>
      <c r="M203" t="str">
        <f>IF(H203&gt;=3,"High",IF(H203=1,"Medium","Low"))</f>
        <v>Low</v>
      </c>
      <c r="N203">
        <f>IF(J203="high",2,IF(J203="Medium",1,0))</f>
        <v>2</v>
      </c>
      <c r="O203">
        <f>IF(K203="high",2,IF(K203="medium",1,0))</f>
        <v>1</v>
      </c>
      <c r="P203">
        <f>IF(L203="high",2,0)</f>
        <v>0</v>
      </c>
      <c r="Q203">
        <f>IF(M203="high",2,IF(M203="medium",1,0))</f>
        <v>0</v>
      </c>
      <c r="R203">
        <f>SUM(N203:Q203)</f>
        <v>3</v>
      </c>
      <c r="S203" t="str">
        <f>IF(R203&gt;=5,"High Risk",IF(R203&gt;=3, "Medium Risk", "Low Risk"))</f>
        <v>Medium Risk</v>
      </c>
    </row>
    <row r="204" spans="1:19" x14ac:dyDescent="0.25">
      <c r="A204" t="s">
        <v>247</v>
      </c>
      <c r="B204" t="s">
        <v>31</v>
      </c>
      <c r="C204" t="s">
        <v>28</v>
      </c>
      <c r="D204">
        <v>569732</v>
      </c>
      <c r="E204">
        <v>25</v>
      </c>
      <c r="F204">
        <v>82</v>
      </c>
      <c r="G204" t="s">
        <v>68</v>
      </c>
      <c r="H204">
        <v>1</v>
      </c>
      <c r="I204" t="s">
        <v>23</v>
      </c>
      <c r="J204" t="str">
        <f>IF(E204&gt;30,"High",IF(E204&gt;10,"Medium","Low"))</f>
        <v>Medium</v>
      </c>
      <c r="K204" t="str">
        <f>IF(F204&gt;90,"High",IF(F204&gt;75,"Medium","Low"))</f>
        <v>Medium</v>
      </c>
      <c r="L204" t="str">
        <f>IF(G204="Declining","High","Low")</f>
        <v>Low</v>
      </c>
      <c r="M204" t="str">
        <f>IF(H204&gt;=3,"High",IF(H204=1,"Medium","Low"))</f>
        <v>Medium</v>
      </c>
      <c r="N204">
        <f>IF(J204="high",2,IF(J204="Medium",1,0))</f>
        <v>1</v>
      </c>
      <c r="O204">
        <f>IF(K204="high",2,IF(K204="medium",1,0))</f>
        <v>1</v>
      </c>
      <c r="P204">
        <f>IF(L204="high",2,0)</f>
        <v>0</v>
      </c>
      <c r="Q204">
        <f>IF(M204="high",2,IF(M204="medium",1,0))</f>
        <v>1</v>
      </c>
      <c r="R204">
        <f>SUM(N204:Q204)</f>
        <v>3</v>
      </c>
      <c r="S204" t="str">
        <f>IF(R204&gt;=5,"High Risk",IF(R204&gt;=3, "Medium Risk", "Low Risk"))</f>
        <v>Medium Risk</v>
      </c>
    </row>
    <row r="205" spans="1:19" x14ac:dyDescent="0.25">
      <c r="A205" t="s">
        <v>248</v>
      </c>
      <c r="B205" t="s">
        <v>31</v>
      </c>
      <c r="C205" t="s">
        <v>54</v>
      </c>
      <c r="D205">
        <v>525681</v>
      </c>
      <c r="E205">
        <v>57</v>
      </c>
      <c r="F205">
        <v>76</v>
      </c>
      <c r="G205" t="s">
        <v>56</v>
      </c>
      <c r="H205">
        <v>2</v>
      </c>
      <c r="I205" t="s">
        <v>23</v>
      </c>
      <c r="J205" t="str">
        <f>IF(E205&gt;30,"High",IF(E205&gt;10,"Medium","Low"))</f>
        <v>High</v>
      </c>
      <c r="K205" t="str">
        <f>IF(F205&gt;90,"High",IF(F205&gt;75,"Medium","Low"))</f>
        <v>Medium</v>
      </c>
      <c r="L205" t="str">
        <f>IF(G205="Declining","High","Low")</f>
        <v>Low</v>
      </c>
      <c r="M205" t="str">
        <f>IF(H205&gt;=3,"High",IF(H205=1,"Medium","Low"))</f>
        <v>Low</v>
      </c>
      <c r="N205">
        <f>IF(J205="high",2,IF(J205="Medium",1,0))</f>
        <v>2</v>
      </c>
      <c r="O205">
        <f>IF(K205="high",2,IF(K205="medium",1,0))</f>
        <v>1</v>
      </c>
      <c r="P205">
        <f>IF(L205="high",2,0)</f>
        <v>0</v>
      </c>
      <c r="Q205">
        <f>IF(M205="high",2,IF(M205="medium",1,0))</f>
        <v>0</v>
      </c>
      <c r="R205">
        <f>SUM(N205:Q205)</f>
        <v>3</v>
      </c>
      <c r="S205" t="str">
        <f>IF(R205&gt;=5,"High Risk",IF(R205&gt;=3, "Medium Risk", "Low Risk"))</f>
        <v>Medium Risk</v>
      </c>
    </row>
    <row r="206" spans="1:19" x14ac:dyDescent="0.25">
      <c r="A206" t="s">
        <v>249</v>
      </c>
      <c r="B206" t="s">
        <v>38</v>
      </c>
      <c r="C206" t="s">
        <v>21</v>
      </c>
      <c r="D206">
        <v>590494</v>
      </c>
      <c r="E206">
        <v>21</v>
      </c>
      <c r="F206">
        <v>62</v>
      </c>
      <c r="G206" t="s">
        <v>68</v>
      </c>
      <c r="H206">
        <v>3</v>
      </c>
      <c r="I206" t="s">
        <v>35</v>
      </c>
      <c r="J206" t="str">
        <f>IF(E206&gt;30,"High",IF(E206&gt;10,"Medium","Low"))</f>
        <v>Medium</v>
      </c>
      <c r="K206" t="str">
        <f>IF(F206&gt;90,"High",IF(F206&gt;75,"Medium","Low"))</f>
        <v>Low</v>
      </c>
      <c r="L206" t="str">
        <f>IF(G206="Declining","High","Low")</f>
        <v>Low</v>
      </c>
      <c r="M206" t="str">
        <f>IF(H206&gt;=3,"High",IF(H206=1,"Medium","Low"))</f>
        <v>High</v>
      </c>
      <c r="N206">
        <f>IF(J206="high",2,IF(J206="Medium",1,0))</f>
        <v>1</v>
      </c>
      <c r="O206">
        <f>IF(K206="high",2,IF(K206="medium",1,0))</f>
        <v>0</v>
      </c>
      <c r="P206">
        <f>IF(L206="high",2,0)</f>
        <v>0</v>
      </c>
      <c r="Q206">
        <f>IF(M206="high",2,IF(M206="medium",1,0))</f>
        <v>2</v>
      </c>
      <c r="R206">
        <f>SUM(N206:Q206)</f>
        <v>3</v>
      </c>
      <c r="S206" t="str">
        <f>IF(R206&gt;=5,"High Risk",IF(R206&gt;=3, "Medium Risk", "Low Risk"))</f>
        <v>Medium Risk</v>
      </c>
    </row>
    <row r="207" spans="1:19" x14ac:dyDescent="0.25">
      <c r="A207" t="s">
        <v>250</v>
      </c>
      <c r="B207" t="s">
        <v>48</v>
      </c>
      <c r="C207" t="s">
        <v>28</v>
      </c>
      <c r="D207">
        <v>1455942</v>
      </c>
      <c r="E207">
        <v>14</v>
      </c>
      <c r="F207">
        <v>44</v>
      </c>
      <c r="G207" t="s">
        <v>56</v>
      </c>
      <c r="H207">
        <v>3</v>
      </c>
      <c r="I207" t="s">
        <v>35</v>
      </c>
      <c r="J207" t="str">
        <f>IF(E207&gt;30,"High",IF(E207&gt;10,"Medium","Low"))</f>
        <v>Medium</v>
      </c>
      <c r="K207" t="str">
        <f>IF(F207&gt;90,"High",IF(F207&gt;75,"Medium","Low"))</f>
        <v>Low</v>
      </c>
      <c r="L207" t="str">
        <f>IF(G207="Declining","High","Low")</f>
        <v>Low</v>
      </c>
      <c r="M207" t="str">
        <f>IF(H207&gt;=3,"High",IF(H207=1,"Medium","Low"))</f>
        <v>High</v>
      </c>
      <c r="N207">
        <f>IF(J207="high",2,IF(J207="Medium",1,0))</f>
        <v>1</v>
      </c>
      <c r="O207">
        <f>IF(K207="high",2,IF(K207="medium",1,0))</f>
        <v>0</v>
      </c>
      <c r="P207">
        <f>IF(L207="high",2,0)</f>
        <v>0</v>
      </c>
      <c r="Q207">
        <f>IF(M207="high",2,IF(M207="medium",1,0))</f>
        <v>2</v>
      </c>
      <c r="R207">
        <f>SUM(N207:Q207)</f>
        <v>3</v>
      </c>
      <c r="S207" t="str">
        <f>IF(R207&gt;=5,"High Risk",IF(R207&gt;=3, "Medium Risk", "Low Risk"))</f>
        <v>Medium Risk</v>
      </c>
    </row>
    <row r="208" spans="1:19" x14ac:dyDescent="0.25">
      <c r="A208" t="s">
        <v>251</v>
      </c>
      <c r="B208" t="s">
        <v>38</v>
      </c>
      <c r="C208" t="s">
        <v>42</v>
      </c>
      <c r="D208">
        <v>1252371</v>
      </c>
      <c r="E208">
        <v>20</v>
      </c>
      <c r="F208">
        <v>73</v>
      </c>
      <c r="G208" t="s">
        <v>56</v>
      </c>
      <c r="H208">
        <v>5</v>
      </c>
      <c r="I208" t="s">
        <v>23</v>
      </c>
      <c r="J208" t="str">
        <f>IF(E208&gt;30,"High",IF(E208&gt;10,"Medium","Low"))</f>
        <v>Medium</v>
      </c>
      <c r="K208" t="str">
        <f>IF(F208&gt;90,"High",IF(F208&gt;75,"Medium","Low"))</f>
        <v>Low</v>
      </c>
      <c r="L208" t="str">
        <f>IF(G208="Declining","High","Low")</f>
        <v>Low</v>
      </c>
      <c r="M208" t="str">
        <f>IF(H208&gt;=3,"High",IF(H208=1,"Medium","Low"))</f>
        <v>High</v>
      </c>
      <c r="N208">
        <f>IF(J208="high",2,IF(J208="Medium",1,0))</f>
        <v>1</v>
      </c>
      <c r="O208">
        <f>IF(K208="high",2,IF(K208="medium",1,0))</f>
        <v>0</v>
      </c>
      <c r="P208">
        <f>IF(L208="high",2,0)</f>
        <v>0</v>
      </c>
      <c r="Q208">
        <f>IF(M208="high",2,IF(M208="medium",1,0))</f>
        <v>2</v>
      </c>
      <c r="R208">
        <f>SUM(N208:Q208)</f>
        <v>3</v>
      </c>
      <c r="S208" t="str">
        <f>IF(R208&gt;=5,"High Risk",IF(R208&gt;=3, "Medium Risk", "Low Risk"))</f>
        <v>Medium Risk</v>
      </c>
    </row>
    <row r="209" spans="1:19" x14ac:dyDescent="0.25">
      <c r="A209" t="s">
        <v>252</v>
      </c>
      <c r="B209" t="s">
        <v>48</v>
      </c>
      <c r="C209" t="s">
        <v>54</v>
      </c>
      <c r="D209">
        <v>472358</v>
      </c>
      <c r="E209">
        <v>28</v>
      </c>
      <c r="F209">
        <v>75</v>
      </c>
      <c r="G209" t="s">
        <v>22</v>
      </c>
      <c r="H209">
        <v>0</v>
      </c>
      <c r="I209" t="s">
        <v>23</v>
      </c>
      <c r="J209" t="str">
        <f>IF(E209&gt;30,"High",IF(E209&gt;10,"Medium","Low"))</f>
        <v>Medium</v>
      </c>
      <c r="K209" t="str">
        <f>IF(F209&gt;90,"High",IF(F209&gt;75,"Medium","Low"))</f>
        <v>Low</v>
      </c>
      <c r="L209" t="str">
        <f>IF(G209="Declining","High","Low")</f>
        <v>High</v>
      </c>
      <c r="M209" t="str">
        <f>IF(H209&gt;=3,"High",IF(H209=1,"Medium","Low"))</f>
        <v>Low</v>
      </c>
      <c r="N209">
        <f>IF(J209="high",2,IF(J209="Medium",1,0))</f>
        <v>1</v>
      </c>
      <c r="O209">
        <f>IF(K209="high",2,IF(K209="medium",1,0))</f>
        <v>0</v>
      </c>
      <c r="P209">
        <f>IF(L209="high",2,0)</f>
        <v>2</v>
      </c>
      <c r="Q209">
        <f>IF(M209="high",2,IF(M209="medium",1,0))</f>
        <v>0</v>
      </c>
      <c r="R209">
        <f>SUM(N209:Q209)</f>
        <v>3</v>
      </c>
      <c r="S209" t="str">
        <f>IF(R209&gt;=5,"High Risk",IF(R209&gt;=3, "Medium Risk", "Low Risk"))</f>
        <v>Medium Risk</v>
      </c>
    </row>
    <row r="210" spans="1:19" x14ac:dyDescent="0.25">
      <c r="A210" t="s">
        <v>253</v>
      </c>
      <c r="B210" t="s">
        <v>41</v>
      </c>
      <c r="C210" t="s">
        <v>42</v>
      </c>
      <c r="D210">
        <v>975649</v>
      </c>
      <c r="E210">
        <v>30</v>
      </c>
      <c r="F210">
        <v>49</v>
      </c>
      <c r="G210" t="s">
        <v>56</v>
      </c>
      <c r="H210">
        <v>4</v>
      </c>
      <c r="I210" t="s">
        <v>24</v>
      </c>
      <c r="J210" t="str">
        <f>IF(E210&gt;30,"High",IF(E210&gt;10,"Medium","Low"))</f>
        <v>Medium</v>
      </c>
      <c r="K210" t="str">
        <f>IF(F210&gt;90,"High",IF(F210&gt;75,"Medium","Low"))</f>
        <v>Low</v>
      </c>
      <c r="L210" t="str">
        <f>IF(G210="Declining","High","Low")</f>
        <v>Low</v>
      </c>
      <c r="M210" t="str">
        <f>IF(H210&gt;=3,"High",IF(H210=1,"Medium","Low"))</f>
        <v>High</v>
      </c>
      <c r="N210">
        <f>IF(J210="high",2,IF(J210="Medium",1,0))</f>
        <v>1</v>
      </c>
      <c r="O210">
        <f>IF(K210="high",2,IF(K210="medium",1,0))</f>
        <v>0</v>
      </c>
      <c r="P210">
        <f>IF(L210="high",2,0)</f>
        <v>0</v>
      </c>
      <c r="Q210">
        <f>IF(M210="high",2,IF(M210="medium",1,0))</f>
        <v>2</v>
      </c>
      <c r="R210">
        <f>SUM(N210:Q210)</f>
        <v>3</v>
      </c>
      <c r="S210" t="str">
        <f>IF(R210&gt;=5,"High Risk",IF(R210&gt;=3, "Medium Risk", "Low Risk"))</f>
        <v>Medium Risk</v>
      </c>
    </row>
    <row r="211" spans="1:19" x14ac:dyDescent="0.25">
      <c r="A211" t="s">
        <v>254</v>
      </c>
      <c r="B211" t="s">
        <v>31</v>
      </c>
      <c r="C211" t="s">
        <v>54</v>
      </c>
      <c r="D211">
        <v>196400</v>
      </c>
      <c r="E211">
        <v>44</v>
      </c>
      <c r="F211">
        <v>45</v>
      </c>
      <c r="G211" t="s">
        <v>68</v>
      </c>
      <c r="H211">
        <v>1</v>
      </c>
      <c r="I211" t="s">
        <v>23</v>
      </c>
      <c r="J211" t="str">
        <f>IF(E211&gt;30,"High",IF(E211&gt;10,"Medium","Low"))</f>
        <v>High</v>
      </c>
      <c r="K211" t="str">
        <f>IF(F211&gt;90,"High",IF(F211&gt;75,"Medium","Low"))</f>
        <v>Low</v>
      </c>
      <c r="L211" t="str">
        <f>IF(G211="Declining","High","Low")</f>
        <v>Low</v>
      </c>
      <c r="M211" t="str">
        <f>IF(H211&gt;=3,"High",IF(H211=1,"Medium","Low"))</f>
        <v>Medium</v>
      </c>
      <c r="N211">
        <f>IF(J211="high",2,IF(J211="Medium",1,0))</f>
        <v>2</v>
      </c>
      <c r="O211">
        <f>IF(K211="high",2,IF(K211="medium",1,0))</f>
        <v>0</v>
      </c>
      <c r="P211">
        <f>IF(L211="high",2,0)</f>
        <v>0</v>
      </c>
      <c r="Q211">
        <f>IF(M211="high",2,IF(M211="medium",1,0))</f>
        <v>1</v>
      </c>
      <c r="R211">
        <f>SUM(N211:Q211)</f>
        <v>3</v>
      </c>
      <c r="S211" t="str">
        <f>IF(R211&gt;=5,"High Risk",IF(R211&gt;=3, "Medium Risk", "Low Risk"))</f>
        <v>Medium Risk</v>
      </c>
    </row>
    <row r="212" spans="1:19" x14ac:dyDescent="0.25">
      <c r="A212" t="s">
        <v>255</v>
      </c>
      <c r="B212" t="s">
        <v>20</v>
      </c>
      <c r="C212" t="s">
        <v>54</v>
      </c>
      <c r="D212">
        <v>246368</v>
      </c>
      <c r="E212">
        <v>27</v>
      </c>
      <c r="F212">
        <v>69</v>
      </c>
      <c r="G212" t="s">
        <v>56</v>
      </c>
      <c r="H212">
        <v>3</v>
      </c>
      <c r="I212" t="s">
        <v>24</v>
      </c>
      <c r="J212" t="str">
        <f>IF(E212&gt;30,"High",IF(E212&gt;10,"Medium","Low"))</f>
        <v>Medium</v>
      </c>
      <c r="K212" t="str">
        <f>IF(F212&gt;90,"High",IF(F212&gt;75,"Medium","Low"))</f>
        <v>Low</v>
      </c>
      <c r="L212" t="str">
        <f>IF(G212="Declining","High","Low")</f>
        <v>Low</v>
      </c>
      <c r="M212" t="str">
        <f>IF(H212&gt;=3,"High",IF(H212=1,"Medium","Low"))</f>
        <v>High</v>
      </c>
      <c r="N212">
        <f>IF(J212="high",2,IF(J212="Medium",1,0))</f>
        <v>1</v>
      </c>
      <c r="O212">
        <f>IF(K212="high",2,IF(K212="medium",1,0))</f>
        <v>0</v>
      </c>
      <c r="P212">
        <f>IF(L212="high",2,0)</f>
        <v>0</v>
      </c>
      <c r="Q212">
        <f>IF(M212="high",2,IF(M212="medium",1,0))</f>
        <v>2</v>
      </c>
      <c r="R212">
        <f>SUM(N212:Q212)</f>
        <v>3</v>
      </c>
      <c r="S212" t="str">
        <f>IF(R212&gt;=5,"High Risk",IF(R212&gt;=3, "Medium Risk", "Low Risk"))</f>
        <v>Medium Risk</v>
      </c>
    </row>
    <row r="213" spans="1:19" x14ac:dyDescent="0.25">
      <c r="A213" t="s">
        <v>256</v>
      </c>
      <c r="B213" t="s">
        <v>31</v>
      </c>
      <c r="C213" t="s">
        <v>21</v>
      </c>
      <c r="D213">
        <v>156901</v>
      </c>
      <c r="E213">
        <v>24</v>
      </c>
      <c r="F213">
        <v>55</v>
      </c>
      <c r="G213" t="s">
        <v>68</v>
      </c>
      <c r="H213">
        <v>4</v>
      </c>
      <c r="I213" t="s">
        <v>23</v>
      </c>
      <c r="J213" t="str">
        <f>IF(E213&gt;30,"High",IF(E213&gt;10,"Medium","Low"))</f>
        <v>Medium</v>
      </c>
      <c r="K213" t="str">
        <f>IF(F213&gt;90,"High",IF(F213&gt;75,"Medium","Low"))</f>
        <v>Low</v>
      </c>
      <c r="L213" t="str">
        <f>IF(G213="Declining","High","Low")</f>
        <v>Low</v>
      </c>
      <c r="M213" t="str">
        <f>IF(H213&gt;=3,"High",IF(H213=1,"Medium","Low"))</f>
        <v>High</v>
      </c>
      <c r="N213">
        <f>IF(J213="high",2,IF(J213="Medium",1,0))</f>
        <v>1</v>
      </c>
      <c r="O213">
        <f>IF(K213="high",2,IF(K213="medium",1,0))</f>
        <v>0</v>
      </c>
      <c r="P213">
        <f>IF(L213="high",2,0)</f>
        <v>0</v>
      </c>
      <c r="Q213">
        <f>IF(M213="high",2,IF(M213="medium",1,0))</f>
        <v>2</v>
      </c>
      <c r="R213">
        <f>SUM(N213:Q213)</f>
        <v>3</v>
      </c>
      <c r="S213" t="str">
        <f>IF(R213&gt;=5,"High Risk",IF(R213&gt;=3, "Medium Risk", "Low Risk"))</f>
        <v>Medium Risk</v>
      </c>
    </row>
    <row r="214" spans="1:19" x14ac:dyDescent="0.25">
      <c r="A214" t="s">
        <v>257</v>
      </c>
      <c r="B214" t="s">
        <v>41</v>
      </c>
      <c r="C214" t="s">
        <v>28</v>
      </c>
      <c r="D214">
        <v>921824</v>
      </c>
      <c r="E214">
        <v>10</v>
      </c>
      <c r="F214">
        <v>78</v>
      </c>
      <c r="G214" t="s">
        <v>56</v>
      </c>
      <c r="H214">
        <v>3</v>
      </c>
      <c r="I214" t="s">
        <v>35</v>
      </c>
      <c r="J214" t="str">
        <f>IF(E214&gt;30,"High",IF(E214&gt;10,"Medium","Low"))</f>
        <v>Low</v>
      </c>
      <c r="K214" t="str">
        <f>IF(F214&gt;90,"High",IF(F214&gt;75,"Medium","Low"))</f>
        <v>Medium</v>
      </c>
      <c r="L214" t="str">
        <f>IF(G214="Declining","High","Low")</f>
        <v>Low</v>
      </c>
      <c r="M214" t="str">
        <f>IF(H214&gt;=3,"High",IF(H214=1,"Medium","Low"))</f>
        <v>High</v>
      </c>
      <c r="N214">
        <f>IF(J214="high",2,IF(J214="Medium",1,0))</f>
        <v>0</v>
      </c>
      <c r="O214">
        <f>IF(K214="high",2,IF(K214="medium",1,0))</f>
        <v>1</v>
      </c>
      <c r="P214">
        <f>IF(L214="high",2,0)</f>
        <v>0</v>
      </c>
      <c r="Q214">
        <f>IF(M214="high",2,IF(M214="medium",1,0))</f>
        <v>2</v>
      </c>
      <c r="R214">
        <f>SUM(N214:Q214)</f>
        <v>3</v>
      </c>
      <c r="S214" t="str">
        <f>IF(R214&gt;=5,"High Risk",IF(R214&gt;=3, "Medium Risk", "Low Risk"))</f>
        <v>Medium Risk</v>
      </c>
    </row>
    <row r="215" spans="1:19" x14ac:dyDescent="0.25">
      <c r="A215" t="s">
        <v>258</v>
      </c>
      <c r="B215" t="s">
        <v>41</v>
      </c>
      <c r="C215" t="s">
        <v>54</v>
      </c>
      <c r="D215">
        <v>1206048</v>
      </c>
      <c r="E215">
        <v>30</v>
      </c>
      <c r="F215">
        <v>49</v>
      </c>
      <c r="G215" t="s">
        <v>22</v>
      </c>
      <c r="H215">
        <v>2</v>
      </c>
      <c r="I215" t="s">
        <v>35</v>
      </c>
      <c r="J215" t="str">
        <f>IF(E215&gt;30,"High",IF(E215&gt;10,"Medium","Low"))</f>
        <v>Medium</v>
      </c>
      <c r="K215" t="str">
        <f>IF(F215&gt;90,"High",IF(F215&gt;75,"Medium","Low"))</f>
        <v>Low</v>
      </c>
      <c r="L215" t="str">
        <f>IF(G215="Declining","High","Low")</f>
        <v>High</v>
      </c>
      <c r="M215" t="str">
        <f>IF(H215&gt;=3,"High",IF(H215=1,"Medium","Low"))</f>
        <v>Low</v>
      </c>
      <c r="N215">
        <f>IF(J215="high",2,IF(J215="Medium",1,0))</f>
        <v>1</v>
      </c>
      <c r="O215">
        <f>IF(K215="high",2,IF(K215="medium",1,0))</f>
        <v>0</v>
      </c>
      <c r="P215">
        <f>IF(L215="high",2,0)</f>
        <v>2</v>
      </c>
      <c r="Q215">
        <f>IF(M215="high",2,IF(M215="medium",1,0))</f>
        <v>0</v>
      </c>
      <c r="R215">
        <f>SUM(N215:Q215)</f>
        <v>3</v>
      </c>
      <c r="S215" t="str">
        <f>IF(R215&gt;=5,"High Risk",IF(R215&gt;=3, "Medium Risk", "Low Risk"))</f>
        <v>Medium Risk</v>
      </c>
    </row>
    <row r="216" spans="1:19" x14ac:dyDescent="0.25">
      <c r="A216" t="s">
        <v>259</v>
      </c>
      <c r="B216" t="s">
        <v>38</v>
      </c>
      <c r="C216" t="s">
        <v>21</v>
      </c>
      <c r="D216">
        <v>998559</v>
      </c>
      <c r="E216">
        <v>12</v>
      </c>
      <c r="F216">
        <v>67</v>
      </c>
      <c r="G216" t="s">
        <v>22</v>
      </c>
      <c r="H216">
        <v>2</v>
      </c>
      <c r="I216" t="s">
        <v>35</v>
      </c>
      <c r="J216" t="str">
        <f>IF(E216&gt;30,"High",IF(E216&gt;10,"Medium","Low"))</f>
        <v>Medium</v>
      </c>
      <c r="K216" t="str">
        <f>IF(F216&gt;90,"High",IF(F216&gt;75,"Medium","Low"))</f>
        <v>Low</v>
      </c>
      <c r="L216" t="str">
        <f>IF(G216="Declining","High","Low")</f>
        <v>High</v>
      </c>
      <c r="M216" t="str">
        <f>IF(H216&gt;=3,"High",IF(H216=1,"Medium","Low"))</f>
        <v>Low</v>
      </c>
      <c r="N216">
        <f>IF(J216="high",2,IF(J216="Medium",1,0))</f>
        <v>1</v>
      </c>
      <c r="O216">
        <f>IF(K216="high",2,IF(K216="medium",1,0))</f>
        <v>0</v>
      </c>
      <c r="P216">
        <f>IF(L216="high",2,0)</f>
        <v>2</v>
      </c>
      <c r="Q216">
        <f>IF(M216="high",2,IF(M216="medium",1,0))</f>
        <v>0</v>
      </c>
      <c r="R216">
        <f>SUM(N216:Q216)</f>
        <v>3</v>
      </c>
      <c r="S216" t="str">
        <f>IF(R216&gt;=5,"High Risk",IF(R216&gt;=3, "Medium Risk", "Low Risk"))</f>
        <v>Medium Risk</v>
      </c>
    </row>
    <row r="217" spans="1:19" x14ac:dyDescent="0.25">
      <c r="A217" t="s">
        <v>260</v>
      </c>
      <c r="B217" t="s">
        <v>41</v>
      </c>
      <c r="C217" t="s">
        <v>42</v>
      </c>
      <c r="D217">
        <v>1435619</v>
      </c>
      <c r="E217">
        <v>47</v>
      </c>
      <c r="F217">
        <v>68</v>
      </c>
      <c r="G217" t="s">
        <v>68</v>
      </c>
      <c r="H217">
        <v>1</v>
      </c>
      <c r="I217" t="s">
        <v>35</v>
      </c>
      <c r="J217" t="str">
        <f>IF(E217&gt;30,"High",IF(E217&gt;10,"Medium","Low"))</f>
        <v>High</v>
      </c>
      <c r="K217" t="str">
        <f>IF(F217&gt;90,"High",IF(F217&gt;75,"Medium","Low"))</f>
        <v>Low</v>
      </c>
      <c r="L217" t="str">
        <f>IF(G217="Declining","High","Low")</f>
        <v>Low</v>
      </c>
      <c r="M217" t="str">
        <f>IF(H217&gt;=3,"High",IF(H217=1,"Medium","Low"))</f>
        <v>Medium</v>
      </c>
      <c r="N217">
        <f>IF(J217="high",2,IF(J217="Medium",1,0))</f>
        <v>2</v>
      </c>
      <c r="O217">
        <f>IF(K217="high",2,IF(K217="medium",1,0))</f>
        <v>0</v>
      </c>
      <c r="P217">
        <f>IF(L217="high",2,0)</f>
        <v>0</v>
      </c>
      <c r="Q217">
        <f>IF(M217="high",2,IF(M217="medium",1,0))</f>
        <v>1</v>
      </c>
      <c r="R217">
        <f>SUM(N217:Q217)</f>
        <v>3</v>
      </c>
      <c r="S217" t="str">
        <f>IF(R217&gt;=5,"High Risk",IF(R217&gt;=3, "Medium Risk", "Low Risk"))</f>
        <v>Medium Risk</v>
      </c>
    </row>
    <row r="218" spans="1:19" x14ac:dyDescent="0.25">
      <c r="A218" t="s">
        <v>261</v>
      </c>
      <c r="B218" t="s">
        <v>20</v>
      </c>
      <c r="C218" t="s">
        <v>21</v>
      </c>
      <c r="D218">
        <v>1036697</v>
      </c>
      <c r="E218">
        <v>11</v>
      </c>
      <c r="F218">
        <v>68</v>
      </c>
      <c r="G218" t="s">
        <v>68</v>
      </c>
      <c r="H218">
        <v>5</v>
      </c>
      <c r="I218" t="s">
        <v>23</v>
      </c>
      <c r="J218" t="str">
        <f>IF(E218&gt;30,"High",IF(E218&gt;10,"Medium","Low"))</f>
        <v>Medium</v>
      </c>
      <c r="K218" t="str">
        <f>IF(F218&gt;90,"High",IF(F218&gt;75,"Medium","Low"))</f>
        <v>Low</v>
      </c>
      <c r="L218" t="str">
        <f>IF(G218="Declining","High","Low")</f>
        <v>Low</v>
      </c>
      <c r="M218" t="str">
        <f>IF(H218&gt;=3,"High",IF(H218=1,"Medium","Low"))</f>
        <v>High</v>
      </c>
      <c r="N218">
        <f>IF(J218="high",2,IF(J218="Medium",1,0))</f>
        <v>1</v>
      </c>
      <c r="O218">
        <f>IF(K218="high",2,IF(K218="medium",1,0))</f>
        <v>0</v>
      </c>
      <c r="P218">
        <f>IF(L218="high",2,0)</f>
        <v>0</v>
      </c>
      <c r="Q218">
        <f>IF(M218="high",2,IF(M218="medium",1,0))</f>
        <v>2</v>
      </c>
      <c r="R218">
        <f>SUM(N218:Q218)</f>
        <v>3</v>
      </c>
      <c r="S218" t="str">
        <f>IF(R218&gt;=5,"High Risk",IF(R218&gt;=3, "Medium Risk", "Low Risk"))</f>
        <v>Medium Risk</v>
      </c>
    </row>
    <row r="219" spans="1:19" x14ac:dyDescent="0.25">
      <c r="A219" t="s">
        <v>262</v>
      </c>
      <c r="B219" t="s">
        <v>31</v>
      </c>
      <c r="C219" t="s">
        <v>34</v>
      </c>
      <c r="D219">
        <v>1147190</v>
      </c>
      <c r="E219">
        <v>30</v>
      </c>
      <c r="F219">
        <v>54</v>
      </c>
      <c r="G219" t="s">
        <v>22</v>
      </c>
      <c r="H219">
        <v>2</v>
      </c>
      <c r="I219" t="s">
        <v>23</v>
      </c>
      <c r="J219" t="str">
        <f>IF(E219&gt;30,"High",IF(E219&gt;10,"Medium","Low"))</f>
        <v>Medium</v>
      </c>
      <c r="K219" t="str">
        <f>IF(F219&gt;90,"High",IF(F219&gt;75,"Medium","Low"))</f>
        <v>Low</v>
      </c>
      <c r="L219" t="str">
        <f>IF(G219="Declining","High","Low")</f>
        <v>High</v>
      </c>
      <c r="M219" t="str">
        <f>IF(H219&gt;=3,"High",IF(H219=1,"Medium","Low"))</f>
        <v>Low</v>
      </c>
      <c r="N219">
        <f>IF(J219="high",2,IF(J219="Medium",1,0))</f>
        <v>1</v>
      </c>
      <c r="O219">
        <f>IF(K219="high",2,IF(K219="medium",1,0))</f>
        <v>0</v>
      </c>
      <c r="P219">
        <f>IF(L219="high",2,0)</f>
        <v>2</v>
      </c>
      <c r="Q219">
        <f>IF(M219="high",2,IF(M219="medium",1,0))</f>
        <v>0</v>
      </c>
      <c r="R219">
        <f>SUM(N219:Q219)</f>
        <v>3</v>
      </c>
      <c r="S219" t="str">
        <f>IF(R219&gt;=5,"High Risk",IF(R219&gt;=3, "Medium Risk", "Low Risk"))</f>
        <v>Medium Risk</v>
      </c>
    </row>
    <row r="220" spans="1:19" x14ac:dyDescent="0.25">
      <c r="A220" t="s">
        <v>263</v>
      </c>
      <c r="B220" t="s">
        <v>38</v>
      </c>
      <c r="C220" t="s">
        <v>34</v>
      </c>
      <c r="D220">
        <v>1090066</v>
      </c>
      <c r="E220">
        <v>2</v>
      </c>
      <c r="F220">
        <v>82</v>
      </c>
      <c r="G220" t="s">
        <v>56</v>
      </c>
      <c r="H220">
        <v>4</v>
      </c>
      <c r="I220" t="s">
        <v>23</v>
      </c>
      <c r="J220" t="str">
        <f>IF(E220&gt;30,"High",IF(E220&gt;10,"Medium","Low"))</f>
        <v>Low</v>
      </c>
      <c r="K220" t="str">
        <f>IF(F220&gt;90,"High",IF(F220&gt;75,"Medium","Low"))</f>
        <v>Medium</v>
      </c>
      <c r="L220" t="str">
        <f>IF(G220="Declining","High","Low")</f>
        <v>Low</v>
      </c>
      <c r="M220" t="str">
        <f>IF(H220&gt;=3,"High",IF(H220=1,"Medium","Low"))</f>
        <v>High</v>
      </c>
      <c r="N220">
        <f>IF(J220="high",2,IF(J220="Medium",1,0))</f>
        <v>0</v>
      </c>
      <c r="O220">
        <f>IF(K220="high",2,IF(K220="medium",1,0))</f>
        <v>1</v>
      </c>
      <c r="P220">
        <f>IF(L220="high",2,0)</f>
        <v>0</v>
      </c>
      <c r="Q220">
        <f>IF(M220="high",2,IF(M220="medium",1,0))</f>
        <v>2</v>
      </c>
      <c r="R220">
        <f>SUM(N220:Q220)</f>
        <v>3</v>
      </c>
      <c r="S220" t="str">
        <f>IF(R220&gt;=5,"High Risk",IF(R220&gt;=3, "Medium Risk", "Low Risk"))</f>
        <v>Medium Risk</v>
      </c>
    </row>
    <row r="221" spans="1:19" x14ac:dyDescent="0.25">
      <c r="A221" t="s">
        <v>264</v>
      </c>
      <c r="B221" t="s">
        <v>38</v>
      </c>
      <c r="C221" t="s">
        <v>21</v>
      </c>
      <c r="D221">
        <v>853600</v>
      </c>
      <c r="E221">
        <v>30</v>
      </c>
      <c r="F221">
        <v>50</v>
      </c>
      <c r="G221" t="s">
        <v>56</v>
      </c>
      <c r="H221">
        <v>5</v>
      </c>
      <c r="I221" t="s">
        <v>24</v>
      </c>
      <c r="J221" t="str">
        <f>IF(E221&gt;30,"High",IF(E221&gt;10,"Medium","Low"))</f>
        <v>Medium</v>
      </c>
      <c r="K221" t="str">
        <f>IF(F221&gt;90,"High",IF(F221&gt;75,"Medium","Low"))</f>
        <v>Low</v>
      </c>
      <c r="L221" t="str">
        <f>IF(G221="Declining","High","Low")</f>
        <v>Low</v>
      </c>
      <c r="M221" t="str">
        <f>IF(H221&gt;=3,"High",IF(H221=1,"Medium","Low"))</f>
        <v>High</v>
      </c>
      <c r="N221">
        <f>IF(J221="high",2,IF(J221="Medium",1,0))</f>
        <v>1</v>
      </c>
      <c r="O221">
        <f>IF(K221="high",2,IF(K221="medium",1,0))</f>
        <v>0</v>
      </c>
      <c r="P221">
        <f>IF(L221="high",2,0)</f>
        <v>0</v>
      </c>
      <c r="Q221">
        <f>IF(M221="high",2,IF(M221="medium",1,0))</f>
        <v>2</v>
      </c>
      <c r="R221">
        <f>SUM(N221:Q221)</f>
        <v>3</v>
      </c>
      <c r="S221" t="str">
        <f>IF(R221&gt;=5,"High Risk",IF(R221&gt;=3, "Medium Risk", "Low Risk"))</f>
        <v>Medium Risk</v>
      </c>
    </row>
    <row r="222" spans="1:19" x14ac:dyDescent="0.25">
      <c r="A222" t="s">
        <v>265</v>
      </c>
      <c r="B222" t="s">
        <v>41</v>
      </c>
      <c r="C222" t="s">
        <v>54</v>
      </c>
      <c r="D222">
        <v>373806</v>
      </c>
      <c r="E222">
        <v>19</v>
      </c>
      <c r="F222">
        <v>59</v>
      </c>
      <c r="G222" t="s">
        <v>22</v>
      </c>
      <c r="H222">
        <v>2</v>
      </c>
      <c r="I222" t="s">
        <v>24</v>
      </c>
      <c r="J222" t="str">
        <f>IF(E222&gt;30,"High",IF(E222&gt;10,"Medium","Low"))</f>
        <v>Medium</v>
      </c>
      <c r="K222" t="str">
        <f>IF(F222&gt;90,"High",IF(F222&gt;75,"Medium","Low"))</f>
        <v>Low</v>
      </c>
      <c r="L222" t="str">
        <f>IF(G222="Declining","High","Low")</f>
        <v>High</v>
      </c>
      <c r="M222" t="str">
        <f>IF(H222&gt;=3,"High",IF(H222=1,"Medium","Low"))</f>
        <v>Low</v>
      </c>
      <c r="N222">
        <f>IF(J222="high",2,IF(J222="Medium",1,0))</f>
        <v>1</v>
      </c>
      <c r="O222">
        <f>IF(K222="high",2,IF(K222="medium",1,0))</f>
        <v>0</v>
      </c>
      <c r="P222">
        <f>IF(L222="high",2,0)</f>
        <v>2</v>
      </c>
      <c r="Q222">
        <f>IF(M222="high",2,IF(M222="medium",1,0))</f>
        <v>0</v>
      </c>
      <c r="R222">
        <f>SUM(N222:Q222)</f>
        <v>3</v>
      </c>
      <c r="S222" t="str">
        <f>IF(R222&gt;=5,"High Risk",IF(R222&gt;=3, "Medium Risk", "Low Risk"))</f>
        <v>Medium Risk</v>
      </c>
    </row>
    <row r="223" spans="1:19" x14ac:dyDescent="0.25">
      <c r="A223" t="s">
        <v>266</v>
      </c>
      <c r="B223" t="s">
        <v>31</v>
      </c>
      <c r="C223" t="s">
        <v>42</v>
      </c>
      <c r="D223">
        <v>614851</v>
      </c>
      <c r="E223">
        <v>44</v>
      </c>
      <c r="F223">
        <v>76</v>
      </c>
      <c r="G223" t="s">
        <v>56</v>
      </c>
      <c r="H223">
        <v>2</v>
      </c>
      <c r="I223" t="s">
        <v>24</v>
      </c>
      <c r="J223" t="str">
        <f>IF(E223&gt;30,"High",IF(E223&gt;10,"Medium","Low"))</f>
        <v>High</v>
      </c>
      <c r="K223" t="str">
        <f>IF(F223&gt;90,"High",IF(F223&gt;75,"Medium","Low"))</f>
        <v>Medium</v>
      </c>
      <c r="L223" t="str">
        <f>IF(G223="Declining","High","Low")</f>
        <v>Low</v>
      </c>
      <c r="M223" t="str">
        <f>IF(H223&gt;=3,"High",IF(H223=1,"Medium","Low"))</f>
        <v>Low</v>
      </c>
      <c r="N223">
        <f>IF(J223="high",2,IF(J223="Medium",1,0))</f>
        <v>2</v>
      </c>
      <c r="O223">
        <f>IF(K223="high",2,IF(K223="medium",1,0))</f>
        <v>1</v>
      </c>
      <c r="P223">
        <f>IF(L223="high",2,0)</f>
        <v>0</v>
      </c>
      <c r="Q223">
        <f>IF(M223="high",2,IF(M223="medium",1,0))</f>
        <v>0</v>
      </c>
      <c r="R223">
        <f>SUM(N223:Q223)</f>
        <v>3</v>
      </c>
      <c r="S223" t="str">
        <f>IF(R223&gt;=5,"High Risk",IF(R223&gt;=3, "Medium Risk", "Low Risk"))</f>
        <v>Medium Risk</v>
      </c>
    </row>
    <row r="224" spans="1:19" x14ac:dyDescent="0.25">
      <c r="A224" t="s">
        <v>267</v>
      </c>
      <c r="B224" t="s">
        <v>31</v>
      </c>
      <c r="C224" t="s">
        <v>28</v>
      </c>
      <c r="D224">
        <v>905984</v>
      </c>
      <c r="E224">
        <v>0</v>
      </c>
      <c r="F224">
        <v>76</v>
      </c>
      <c r="G224" t="s">
        <v>22</v>
      </c>
      <c r="H224">
        <v>0</v>
      </c>
      <c r="I224" t="s">
        <v>23</v>
      </c>
      <c r="J224" t="str">
        <f>IF(E224&gt;30,"High",IF(E224&gt;10,"Medium","Low"))</f>
        <v>Low</v>
      </c>
      <c r="K224" t="str">
        <f>IF(F224&gt;90,"High",IF(F224&gt;75,"Medium","Low"))</f>
        <v>Medium</v>
      </c>
      <c r="L224" t="str">
        <f>IF(G224="Declining","High","Low")</f>
        <v>High</v>
      </c>
      <c r="M224" t="str">
        <f>IF(H224&gt;=3,"High",IF(H224=1,"Medium","Low"))</f>
        <v>Low</v>
      </c>
      <c r="N224">
        <f>IF(J224="high",2,IF(J224="Medium",1,0))</f>
        <v>0</v>
      </c>
      <c r="O224">
        <f>IF(K224="high",2,IF(K224="medium",1,0))</f>
        <v>1</v>
      </c>
      <c r="P224">
        <f>IF(L224="high",2,0)</f>
        <v>2</v>
      </c>
      <c r="Q224">
        <f>IF(M224="high",2,IF(M224="medium",1,0))</f>
        <v>0</v>
      </c>
      <c r="R224">
        <f>SUM(N224:Q224)</f>
        <v>3</v>
      </c>
      <c r="S224" t="str">
        <f>IF(R224&gt;=5,"High Risk",IF(R224&gt;=3, "Medium Risk", "Low Risk"))</f>
        <v>Medium Risk</v>
      </c>
    </row>
    <row r="225" spans="1:19" x14ac:dyDescent="0.25">
      <c r="A225" t="s">
        <v>268</v>
      </c>
      <c r="B225" t="s">
        <v>38</v>
      </c>
      <c r="C225" t="s">
        <v>21</v>
      </c>
      <c r="D225">
        <v>702218</v>
      </c>
      <c r="E225">
        <v>17</v>
      </c>
      <c r="F225">
        <v>70</v>
      </c>
      <c r="G225" t="s">
        <v>68</v>
      </c>
      <c r="H225">
        <v>4</v>
      </c>
      <c r="I225" t="s">
        <v>35</v>
      </c>
      <c r="J225" t="str">
        <f>IF(E225&gt;30,"High",IF(E225&gt;10,"Medium","Low"))</f>
        <v>Medium</v>
      </c>
      <c r="K225" t="str">
        <f>IF(F225&gt;90,"High",IF(F225&gt;75,"Medium","Low"))</f>
        <v>Low</v>
      </c>
      <c r="L225" t="str">
        <f>IF(G225="Declining","High","Low")</f>
        <v>Low</v>
      </c>
      <c r="M225" t="str">
        <f>IF(H225&gt;=3,"High",IF(H225=1,"Medium","Low"))</f>
        <v>High</v>
      </c>
      <c r="N225">
        <f>IF(J225="high",2,IF(J225="Medium",1,0))</f>
        <v>1</v>
      </c>
      <c r="O225">
        <f>IF(K225="high",2,IF(K225="medium",1,0))</f>
        <v>0</v>
      </c>
      <c r="P225">
        <f>IF(L225="high",2,0)</f>
        <v>0</v>
      </c>
      <c r="Q225">
        <f>IF(M225="high",2,IF(M225="medium",1,0))</f>
        <v>2</v>
      </c>
      <c r="R225">
        <f>SUM(N225:Q225)</f>
        <v>3</v>
      </c>
      <c r="S225" t="str">
        <f>IF(R225&gt;=5,"High Risk",IF(R225&gt;=3, "Medium Risk", "Low Risk"))</f>
        <v>Medium Risk</v>
      </c>
    </row>
    <row r="226" spans="1:19" x14ac:dyDescent="0.25">
      <c r="A226" t="s">
        <v>269</v>
      </c>
      <c r="B226" t="s">
        <v>48</v>
      </c>
      <c r="C226" t="s">
        <v>42</v>
      </c>
      <c r="D226">
        <v>350899</v>
      </c>
      <c r="E226">
        <v>32</v>
      </c>
      <c r="F226">
        <v>76</v>
      </c>
      <c r="G226" t="s">
        <v>68</v>
      </c>
      <c r="H226">
        <v>2</v>
      </c>
      <c r="I226" t="s">
        <v>24</v>
      </c>
      <c r="J226" t="str">
        <f>IF(E226&gt;30,"High",IF(E226&gt;10,"Medium","Low"))</f>
        <v>High</v>
      </c>
      <c r="K226" t="str">
        <f>IF(F226&gt;90,"High",IF(F226&gt;75,"Medium","Low"))</f>
        <v>Medium</v>
      </c>
      <c r="L226" t="str">
        <f>IF(G226="Declining","High","Low")</f>
        <v>Low</v>
      </c>
      <c r="M226" t="str">
        <f>IF(H226&gt;=3,"High",IF(H226=1,"Medium","Low"))</f>
        <v>Low</v>
      </c>
      <c r="N226">
        <f>IF(J226="high",2,IF(J226="Medium",1,0))</f>
        <v>2</v>
      </c>
      <c r="O226">
        <f>IF(K226="high",2,IF(K226="medium",1,0))</f>
        <v>1</v>
      </c>
      <c r="P226">
        <f>IF(L226="high",2,0)</f>
        <v>0</v>
      </c>
      <c r="Q226">
        <f>IF(M226="high",2,IF(M226="medium",1,0))</f>
        <v>0</v>
      </c>
      <c r="R226">
        <f>SUM(N226:Q226)</f>
        <v>3</v>
      </c>
      <c r="S226" t="str">
        <f>IF(R226&gt;=5,"High Risk",IF(R226&gt;=3, "Medium Risk", "Low Risk"))</f>
        <v>Medium Risk</v>
      </c>
    </row>
    <row r="227" spans="1:19" x14ac:dyDescent="0.25">
      <c r="A227" t="s">
        <v>270</v>
      </c>
      <c r="B227" t="s">
        <v>38</v>
      </c>
      <c r="C227" t="s">
        <v>28</v>
      </c>
      <c r="D227">
        <v>743533</v>
      </c>
      <c r="E227">
        <v>17</v>
      </c>
      <c r="F227">
        <v>67</v>
      </c>
      <c r="G227" t="s">
        <v>68</v>
      </c>
      <c r="H227">
        <v>3</v>
      </c>
      <c r="I227" t="s">
        <v>35</v>
      </c>
      <c r="J227" t="str">
        <f>IF(E227&gt;30,"High",IF(E227&gt;10,"Medium","Low"))</f>
        <v>Medium</v>
      </c>
      <c r="K227" t="str">
        <f>IF(F227&gt;90,"High",IF(F227&gt;75,"Medium","Low"))</f>
        <v>Low</v>
      </c>
      <c r="L227" t="str">
        <f>IF(G227="Declining","High","Low")</f>
        <v>Low</v>
      </c>
      <c r="M227" t="str">
        <f>IF(H227&gt;=3,"High",IF(H227=1,"Medium","Low"))</f>
        <v>High</v>
      </c>
      <c r="N227">
        <f>IF(J227="high",2,IF(J227="Medium",1,0))</f>
        <v>1</v>
      </c>
      <c r="O227">
        <f>IF(K227="high",2,IF(K227="medium",1,0))</f>
        <v>0</v>
      </c>
      <c r="P227">
        <f>IF(L227="high",2,0)</f>
        <v>0</v>
      </c>
      <c r="Q227">
        <f>IF(M227="high",2,IF(M227="medium",1,0))</f>
        <v>2</v>
      </c>
      <c r="R227">
        <f>SUM(N227:Q227)</f>
        <v>3</v>
      </c>
      <c r="S227" t="str">
        <f>IF(R227&gt;=5,"High Risk",IF(R227&gt;=3, "Medium Risk", "Low Risk"))</f>
        <v>Medium Risk</v>
      </c>
    </row>
    <row r="228" spans="1:19" x14ac:dyDescent="0.25">
      <c r="A228" t="s">
        <v>271</v>
      </c>
      <c r="B228" t="s">
        <v>41</v>
      </c>
      <c r="C228" t="s">
        <v>42</v>
      </c>
      <c r="D228">
        <v>560933</v>
      </c>
      <c r="E228">
        <v>0</v>
      </c>
      <c r="F228">
        <v>95</v>
      </c>
      <c r="G228" t="s">
        <v>56</v>
      </c>
      <c r="H228">
        <v>1</v>
      </c>
      <c r="I228" t="s">
        <v>35</v>
      </c>
      <c r="J228" t="str">
        <f>IF(E228&gt;30,"High",IF(E228&gt;10,"Medium","Low"))</f>
        <v>Low</v>
      </c>
      <c r="K228" t="str">
        <f>IF(F228&gt;90,"High",IF(F228&gt;75,"Medium","Low"))</f>
        <v>High</v>
      </c>
      <c r="L228" t="str">
        <f>IF(G228="Declining","High","Low")</f>
        <v>Low</v>
      </c>
      <c r="M228" t="str">
        <f>IF(H228&gt;=3,"High",IF(H228=1,"Medium","Low"))</f>
        <v>Medium</v>
      </c>
      <c r="N228">
        <f>IF(J228="high",2,IF(J228="Medium",1,0))</f>
        <v>0</v>
      </c>
      <c r="O228">
        <f>IF(K228="high",2,IF(K228="medium",1,0))</f>
        <v>2</v>
      </c>
      <c r="P228">
        <f>IF(L228="high",2,0)</f>
        <v>0</v>
      </c>
      <c r="Q228">
        <f>IF(M228="high",2,IF(M228="medium",1,0))</f>
        <v>1</v>
      </c>
      <c r="R228">
        <f>SUM(N228:Q228)</f>
        <v>3</v>
      </c>
      <c r="S228" t="str">
        <f>IF(R228&gt;=5,"High Risk",IF(R228&gt;=3, "Medium Risk", "Low Risk"))</f>
        <v>Medium Risk</v>
      </c>
    </row>
    <row r="229" spans="1:19" x14ac:dyDescent="0.25">
      <c r="A229" t="s">
        <v>272</v>
      </c>
      <c r="B229" t="s">
        <v>20</v>
      </c>
      <c r="C229" t="s">
        <v>21</v>
      </c>
      <c r="D229">
        <v>439219</v>
      </c>
      <c r="E229">
        <v>23</v>
      </c>
      <c r="F229">
        <v>94</v>
      </c>
      <c r="G229" t="s">
        <v>56</v>
      </c>
      <c r="H229">
        <v>2</v>
      </c>
      <c r="I229" t="s">
        <v>24</v>
      </c>
      <c r="J229" t="str">
        <f>IF(E229&gt;30,"High",IF(E229&gt;10,"Medium","Low"))</f>
        <v>Medium</v>
      </c>
      <c r="K229" t="str">
        <f>IF(F229&gt;90,"High",IF(F229&gt;75,"Medium","Low"))</f>
        <v>High</v>
      </c>
      <c r="L229" t="str">
        <f>IF(G229="Declining","High","Low")</f>
        <v>Low</v>
      </c>
      <c r="M229" t="str">
        <f>IF(H229&gt;=3,"High",IF(H229=1,"Medium","Low"))</f>
        <v>Low</v>
      </c>
      <c r="N229">
        <f>IF(J229="high",2,IF(J229="Medium",1,0))</f>
        <v>1</v>
      </c>
      <c r="O229">
        <f>IF(K229="high",2,IF(K229="medium",1,0))</f>
        <v>2</v>
      </c>
      <c r="P229">
        <f>IF(L229="high",2,0)</f>
        <v>0</v>
      </c>
      <c r="Q229">
        <f>IF(M229="high",2,IF(M229="medium",1,0))</f>
        <v>0</v>
      </c>
      <c r="R229">
        <f>SUM(N229:Q229)</f>
        <v>3</v>
      </c>
      <c r="S229" t="str">
        <f>IF(R229&gt;=5,"High Risk",IF(R229&gt;=3, "Medium Risk", "Low Risk"))</f>
        <v>Medium Risk</v>
      </c>
    </row>
    <row r="230" spans="1:19" x14ac:dyDescent="0.25">
      <c r="A230" t="s">
        <v>273</v>
      </c>
      <c r="B230" t="s">
        <v>31</v>
      </c>
      <c r="C230" t="s">
        <v>54</v>
      </c>
      <c r="D230">
        <v>187119</v>
      </c>
      <c r="E230">
        <v>30</v>
      </c>
      <c r="F230">
        <v>45</v>
      </c>
      <c r="G230" t="s">
        <v>56</v>
      </c>
      <c r="H230">
        <v>4</v>
      </c>
      <c r="I230" t="s">
        <v>35</v>
      </c>
      <c r="J230" t="str">
        <f>IF(E230&gt;30,"High",IF(E230&gt;10,"Medium","Low"))</f>
        <v>Medium</v>
      </c>
      <c r="K230" t="str">
        <f>IF(F230&gt;90,"High",IF(F230&gt;75,"Medium","Low"))</f>
        <v>Low</v>
      </c>
      <c r="L230" t="str">
        <f>IF(G230="Declining","High","Low")</f>
        <v>Low</v>
      </c>
      <c r="M230" t="str">
        <f>IF(H230&gt;=3,"High",IF(H230=1,"Medium","Low"))</f>
        <v>High</v>
      </c>
      <c r="N230">
        <f>IF(J230="high",2,IF(J230="Medium",1,0))</f>
        <v>1</v>
      </c>
      <c r="O230">
        <f>IF(K230="high",2,IF(K230="medium",1,0))</f>
        <v>0</v>
      </c>
      <c r="P230">
        <f>IF(L230="high",2,0)</f>
        <v>0</v>
      </c>
      <c r="Q230">
        <f>IF(M230="high",2,IF(M230="medium",1,0))</f>
        <v>2</v>
      </c>
      <c r="R230">
        <f>SUM(N230:Q230)</f>
        <v>3</v>
      </c>
      <c r="S230" t="str">
        <f>IF(R230&gt;=5,"High Risk",IF(R230&gt;=3, "Medium Risk", "Low Risk"))</f>
        <v>Medium Risk</v>
      </c>
    </row>
    <row r="231" spans="1:19" x14ac:dyDescent="0.25">
      <c r="A231" t="s">
        <v>274</v>
      </c>
      <c r="B231" t="s">
        <v>31</v>
      </c>
      <c r="C231" t="s">
        <v>34</v>
      </c>
      <c r="D231">
        <v>631617</v>
      </c>
      <c r="E231">
        <v>38</v>
      </c>
      <c r="F231">
        <v>49</v>
      </c>
      <c r="G231" t="s">
        <v>68</v>
      </c>
      <c r="H231">
        <v>1</v>
      </c>
      <c r="I231" t="s">
        <v>24</v>
      </c>
      <c r="J231" t="str">
        <f>IF(E231&gt;30,"High",IF(E231&gt;10,"Medium","Low"))</f>
        <v>High</v>
      </c>
      <c r="K231" t="str">
        <f>IF(F231&gt;90,"High",IF(F231&gt;75,"Medium","Low"))</f>
        <v>Low</v>
      </c>
      <c r="L231" t="str">
        <f>IF(G231="Declining","High","Low")</f>
        <v>Low</v>
      </c>
      <c r="M231" t="str">
        <f>IF(H231&gt;=3,"High",IF(H231=1,"Medium","Low"))</f>
        <v>Medium</v>
      </c>
      <c r="N231">
        <f>IF(J231="high",2,IF(J231="Medium",1,0))</f>
        <v>2</v>
      </c>
      <c r="O231">
        <f>IF(K231="high",2,IF(K231="medium",1,0))</f>
        <v>0</v>
      </c>
      <c r="P231">
        <f>IF(L231="high",2,0)</f>
        <v>0</v>
      </c>
      <c r="Q231">
        <f>IF(M231="high",2,IF(M231="medium",1,0))</f>
        <v>1</v>
      </c>
      <c r="R231">
        <f>SUM(N231:Q231)</f>
        <v>3</v>
      </c>
      <c r="S231" t="str">
        <f>IF(R231&gt;=5,"High Risk",IF(R231&gt;=3, "Medium Risk", "Low Risk"))</f>
        <v>Medium Risk</v>
      </c>
    </row>
    <row r="232" spans="1:19" x14ac:dyDescent="0.25">
      <c r="A232" t="s">
        <v>275</v>
      </c>
      <c r="B232" t="s">
        <v>41</v>
      </c>
      <c r="C232" t="s">
        <v>34</v>
      </c>
      <c r="D232">
        <v>1483537</v>
      </c>
      <c r="E232">
        <v>3</v>
      </c>
      <c r="F232">
        <v>75</v>
      </c>
      <c r="G232" t="s">
        <v>68</v>
      </c>
      <c r="H232">
        <v>3</v>
      </c>
      <c r="I232" t="s">
        <v>35</v>
      </c>
      <c r="J232" t="str">
        <f>IF(E232&gt;30,"High",IF(E232&gt;10,"Medium","Low"))</f>
        <v>Low</v>
      </c>
      <c r="K232" t="str">
        <f>IF(F232&gt;90,"High",IF(F232&gt;75,"Medium","Low"))</f>
        <v>Low</v>
      </c>
      <c r="L232" t="str">
        <f>IF(G232="Declining","High","Low")</f>
        <v>Low</v>
      </c>
      <c r="M232" t="str">
        <f>IF(H232&gt;=3,"High",IF(H232=1,"Medium","Low"))</f>
        <v>High</v>
      </c>
      <c r="N232">
        <f>IF(J232="high",2,IF(J232="Medium",1,0))</f>
        <v>0</v>
      </c>
      <c r="O232">
        <f>IF(K232="high",2,IF(K232="medium",1,0))</f>
        <v>0</v>
      </c>
      <c r="P232">
        <f>IF(L232="high",2,0)</f>
        <v>0</v>
      </c>
      <c r="Q232">
        <f>IF(M232="high",2,IF(M232="medium",1,0))</f>
        <v>2</v>
      </c>
      <c r="R232">
        <f>SUM(N232:Q232)</f>
        <v>2</v>
      </c>
      <c r="S232" t="str">
        <f>IF(R232&gt;=5,"High Risk",IF(R232&gt;=3, "Medium Risk", "Low Risk"))</f>
        <v>Low Risk</v>
      </c>
    </row>
    <row r="233" spans="1:19" x14ac:dyDescent="0.25">
      <c r="A233" t="s">
        <v>276</v>
      </c>
      <c r="B233" t="s">
        <v>31</v>
      </c>
      <c r="C233" t="s">
        <v>28</v>
      </c>
      <c r="D233">
        <v>1240102</v>
      </c>
      <c r="E233">
        <v>7</v>
      </c>
      <c r="F233">
        <v>64</v>
      </c>
      <c r="G233" t="s">
        <v>56</v>
      </c>
      <c r="H233">
        <v>3</v>
      </c>
      <c r="I233" t="s">
        <v>24</v>
      </c>
      <c r="J233" t="str">
        <f>IF(E233&gt;30,"High",IF(E233&gt;10,"Medium","Low"))</f>
        <v>Low</v>
      </c>
      <c r="K233" t="str">
        <f>IF(F233&gt;90,"High",IF(F233&gt;75,"Medium","Low"))</f>
        <v>Low</v>
      </c>
      <c r="L233" t="str">
        <f>IF(G233="Declining","High","Low")</f>
        <v>Low</v>
      </c>
      <c r="M233" t="str">
        <f>IF(H233&gt;=3,"High",IF(H233=1,"Medium","Low"))</f>
        <v>High</v>
      </c>
      <c r="N233">
        <f>IF(J233="high",2,IF(J233="Medium",1,0))</f>
        <v>0</v>
      </c>
      <c r="O233">
        <f>IF(K233="high",2,IF(K233="medium",1,0))</f>
        <v>0</v>
      </c>
      <c r="P233">
        <f>IF(L233="high",2,0)</f>
        <v>0</v>
      </c>
      <c r="Q233">
        <f>IF(M233="high",2,IF(M233="medium",1,0))</f>
        <v>2</v>
      </c>
      <c r="R233">
        <f>SUM(N233:Q233)</f>
        <v>2</v>
      </c>
      <c r="S233" t="str">
        <f>IF(R233&gt;=5,"High Risk",IF(R233&gt;=3, "Medium Risk", "Low Risk"))</f>
        <v>Low Risk</v>
      </c>
    </row>
    <row r="234" spans="1:19" x14ac:dyDescent="0.25">
      <c r="A234" t="s">
        <v>277</v>
      </c>
      <c r="B234" t="s">
        <v>20</v>
      </c>
      <c r="C234" t="s">
        <v>34</v>
      </c>
      <c r="D234">
        <v>453736</v>
      </c>
      <c r="E234">
        <v>43</v>
      </c>
      <c r="F234">
        <v>70</v>
      </c>
      <c r="G234" t="s">
        <v>56</v>
      </c>
      <c r="H234">
        <v>0</v>
      </c>
      <c r="I234" t="s">
        <v>23</v>
      </c>
      <c r="J234" t="str">
        <f>IF(E234&gt;30,"High",IF(E234&gt;10,"Medium","Low"))</f>
        <v>High</v>
      </c>
      <c r="K234" t="str">
        <f>IF(F234&gt;90,"High",IF(F234&gt;75,"Medium","Low"))</f>
        <v>Low</v>
      </c>
      <c r="L234" t="str">
        <f>IF(G234="Declining","High","Low")</f>
        <v>Low</v>
      </c>
      <c r="M234" t="str">
        <f>IF(H234&gt;=3,"High",IF(H234=1,"Medium","Low"))</f>
        <v>Low</v>
      </c>
      <c r="N234">
        <f>IF(J234="high",2,IF(J234="Medium",1,0))</f>
        <v>2</v>
      </c>
      <c r="O234">
        <f>IF(K234="high",2,IF(K234="medium",1,0))</f>
        <v>0</v>
      </c>
      <c r="P234">
        <f>IF(L234="high",2,0)</f>
        <v>0</v>
      </c>
      <c r="Q234">
        <f>IF(M234="high",2,IF(M234="medium",1,0))</f>
        <v>0</v>
      </c>
      <c r="R234">
        <f>SUM(N234:Q234)</f>
        <v>2</v>
      </c>
      <c r="S234" t="str">
        <f>IF(R234&gt;=5,"High Risk",IF(R234&gt;=3, "Medium Risk", "Low Risk"))</f>
        <v>Low Risk</v>
      </c>
    </row>
    <row r="235" spans="1:19" x14ac:dyDescent="0.25">
      <c r="A235" t="s">
        <v>278</v>
      </c>
      <c r="B235" t="s">
        <v>38</v>
      </c>
      <c r="C235" t="s">
        <v>54</v>
      </c>
      <c r="D235">
        <v>1212121</v>
      </c>
      <c r="E235">
        <v>18</v>
      </c>
      <c r="F235">
        <v>78</v>
      </c>
      <c r="G235" t="s">
        <v>56</v>
      </c>
      <c r="H235">
        <v>2</v>
      </c>
      <c r="I235" t="s">
        <v>35</v>
      </c>
      <c r="J235" t="str">
        <f>IF(E235&gt;30,"High",IF(E235&gt;10,"Medium","Low"))</f>
        <v>Medium</v>
      </c>
      <c r="K235" t="str">
        <f>IF(F235&gt;90,"High",IF(F235&gt;75,"Medium","Low"))</f>
        <v>Medium</v>
      </c>
      <c r="L235" t="str">
        <f>IF(G235="Declining","High","Low")</f>
        <v>Low</v>
      </c>
      <c r="M235" t="str">
        <f>IF(H235&gt;=3,"High",IF(H235=1,"Medium","Low"))</f>
        <v>Low</v>
      </c>
      <c r="N235">
        <f>IF(J235="high",2,IF(J235="Medium",1,0))</f>
        <v>1</v>
      </c>
      <c r="O235">
        <f>IF(K235="high",2,IF(K235="medium",1,0))</f>
        <v>1</v>
      </c>
      <c r="P235">
        <f>IF(L235="high",2,0)</f>
        <v>0</v>
      </c>
      <c r="Q235">
        <f>IF(M235="high",2,IF(M235="medium",1,0))</f>
        <v>0</v>
      </c>
      <c r="R235">
        <f>SUM(N235:Q235)</f>
        <v>2</v>
      </c>
      <c r="S235" t="str">
        <f>IF(R235&gt;=5,"High Risk",IF(R235&gt;=3, "Medium Risk", "Low Risk"))</f>
        <v>Low Risk</v>
      </c>
    </row>
    <row r="236" spans="1:19" x14ac:dyDescent="0.25">
      <c r="A236" t="s">
        <v>279</v>
      </c>
      <c r="B236" t="s">
        <v>48</v>
      </c>
      <c r="C236" t="s">
        <v>28</v>
      </c>
      <c r="D236">
        <v>130095</v>
      </c>
      <c r="E236">
        <v>42</v>
      </c>
      <c r="F236">
        <v>52</v>
      </c>
      <c r="G236" t="s">
        <v>56</v>
      </c>
      <c r="H236">
        <v>2</v>
      </c>
      <c r="I236" t="s">
        <v>24</v>
      </c>
      <c r="J236" t="str">
        <f>IF(E236&gt;30,"High",IF(E236&gt;10,"Medium","Low"))</f>
        <v>High</v>
      </c>
      <c r="K236" t="str">
        <f>IF(F236&gt;90,"High",IF(F236&gt;75,"Medium","Low"))</f>
        <v>Low</v>
      </c>
      <c r="L236" t="str">
        <f>IF(G236="Declining","High","Low")</f>
        <v>Low</v>
      </c>
      <c r="M236" t="str">
        <f>IF(H236&gt;=3,"High",IF(H236=1,"Medium","Low"))</f>
        <v>Low</v>
      </c>
      <c r="N236">
        <f>IF(J236="high",2,IF(J236="Medium",1,0))</f>
        <v>2</v>
      </c>
      <c r="O236">
        <f>IF(K236="high",2,IF(K236="medium",1,0))</f>
        <v>0</v>
      </c>
      <c r="P236">
        <f>IF(L236="high",2,0)</f>
        <v>0</v>
      </c>
      <c r="Q236">
        <f>IF(M236="high",2,IF(M236="medium",1,0))</f>
        <v>0</v>
      </c>
      <c r="R236">
        <f>SUM(N236:Q236)</f>
        <v>2</v>
      </c>
      <c r="S236" t="str">
        <f>IF(R236&gt;=5,"High Risk",IF(R236&gt;=3, "Medium Risk", "Low Risk"))</f>
        <v>Low Risk</v>
      </c>
    </row>
    <row r="237" spans="1:19" x14ac:dyDescent="0.25">
      <c r="A237" t="s">
        <v>280</v>
      </c>
      <c r="B237" t="s">
        <v>31</v>
      </c>
      <c r="C237" t="s">
        <v>54</v>
      </c>
      <c r="D237">
        <v>1217515</v>
      </c>
      <c r="E237">
        <v>21</v>
      </c>
      <c r="F237">
        <v>81</v>
      </c>
      <c r="G237" t="s">
        <v>68</v>
      </c>
      <c r="H237">
        <v>0</v>
      </c>
      <c r="I237" t="s">
        <v>24</v>
      </c>
      <c r="J237" t="str">
        <f>IF(E237&gt;30,"High",IF(E237&gt;10,"Medium","Low"))</f>
        <v>Medium</v>
      </c>
      <c r="K237" t="str">
        <f>IF(F237&gt;90,"High",IF(F237&gt;75,"Medium","Low"))</f>
        <v>Medium</v>
      </c>
      <c r="L237" t="str">
        <f>IF(G237="Declining","High","Low")</f>
        <v>Low</v>
      </c>
      <c r="M237" t="str">
        <f>IF(H237&gt;=3,"High",IF(H237=1,"Medium","Low"))</f>
        <v>Low</v>
      </c>
      <c r="N237">
        <f>IF(J237="high",2,IF(J237="Medium",1,0))</f>
        <v>1</v>
      </c>
      <c r="O237">
        <f>IF(K237="high",2,IF(K237="medium",1,0))</f>
        <v>1</v>
      </c>
      <c r="P237">
        <f>IF(L237="high",2,0)</f>
        <v>0</v>
      </c>
      <c r="Q237">
        <f>IF(M237="high",2,IF(M237="medium",1,0))</f>
        <v>0</v>
      </c>
      <c r="R237">
        <f>SUM(N237:Q237)</f>
        <v>2</v>
      </c>
      <c r="S237" t="str">
        <f>IF(R237&gt;=5,"High Risk",IF(R237&gt;=3, "Medium Risk", "Low Risk"))</f>
        <v>Low Risk</v>
      </c>
    </row>
    <row r="238" spans="1:19" x14ac:dyDescent="0.25">
      <c r="A238" t="s">
        <v>281</v>
      </c>
      <c r="B238" t="s">
        <v>20</v>
      </c>
      <c r="C238" t="s">
        <v>34</v>
      </c>
      <c r="D238">
        <v>344806</v>
      </c>
      <c r="E238">
        <v>14</v>
      </c>
      <c r="F238">
        <v>41</v>
      </c>
      <c r="G238" t="s">
        <v>68</v>
      </c>
      <c r="H238">
        <v>1</v>
      </c>
      <c r="I238" t="s">
        <v>23</v>
      </c>
      <c r="J238" t="str">
        <f>IF(E238&gt;30,"High",IF(E238&gt;10,"Medium","Low"))</f>
        <v>Medium</v>
      </c>
      <c r="K238" t="str">
        <f>IF(F238&gt;90,"High",IF(F238&gt;75,"Medium","Low"))</f>
        <v>Low</v>
      </c>
      <c r="L238" t="str">
        <f>IF(G238="Declining","High","Low")</f>
        <v>Low</v>
      </c>
      <c r="M238" t="str">
        <f>IF(H238&gt;=3,"High",IF(H238=1,"Medium","Low"))</f>
        <v>Medium</v>
      </c>
      <c r="N238">
        <f>IF(J238="high",2,IF(J238="Medium",1,0))</f>
        <v>1</v>
      </c>
      <c r="O238">
        <f>IF(K238="high",2,IF(K238="medium",1,0))</f>
        <v>0</v>
      </c>
      <c r="P238">
        <f>IF(L238="high",2,0)</f>
        <v>0</v>
      </c>
      <c r="Q238">
        <f>IF(M238="high",2,IF(M238="medium",1,0))</f>
        <v>1</v>
      </c>
      <c r="R238">
        <f>SUM(N238:Q238)</f>
        <v>2</v>
      </c>
      <c r="S238" t="str">
        <f>IF(R238&gt;=5,"High Risk",IF(R238&gt;=3, "Medium Risk", "Low Risk"))</f>
        <v>Low Risk</v>
      </c>
    </row>
    <row r="239" spans="1:19" x14ac:dyDescent="0.25">
      <c r="A239" t="s">
        <v>282</v>
      </c>
      <c r="B239" t="s">
        <v>48</v>
      </c>
      <c r="C239" t="s">
        <v>28</v>
      </c>
      <c r="D239">
        <v>1464970</v>
      </c>
      <c r="E239">
        <v>43</v>
      </c>
      <c r="F239">
        <v>74</v>
      </c>
      <c r="G239" t="s">
        <v>56</v>
      </c>
      <c r="H239">
        <v>2</v>
      </c>
      <c r="I239" t="s">
        <v>24</v>
      </c>
      <c r="J239" t="str">
        <f>IF(E239&gt;30,"High",IF(E239&gt;10,"Medium","Low"))</f>
        <v>High</v>
      </c>
      <c r="K239" t="str">
        <f>IF(F239&gt;90,"High",IF(F239&gt;75,"Medium","Low"))</f>
        <v>Low</v>
      </c>
      <c r="L239" t="str">
        <f>IF(G239="Declining","High","Low")</f>
        <v>Low</v>
      </c>
      <c r="M239" t="str">
        <f>IF(H239&gt;=3,"High",IF(H239=1,"Medium","Low"))</f>
        <v>Low</v>
      </c>
      <c r="N239">
        <f>IF(J239="high",2,IF(J239="Medium",1,0))</f>
        <v>2</v>
      </c>
      <c r="O239">
        <f>IF(K239="high",2,IF(K239="medium",1,0))</f>
        <v>0</v>
      </c>
      <c r="P239">
        <f>IF(L239="high",2,0)</f>
        <v>0</v>
      </c>
      <c r="Q239">
        <f>IF(M239="high",2,IF(M239="medium",1,0))</f>
        <v>0</v>
      </c>
      <c r="R239">
        <f>SUM(N239:Q239)</f>
        <v>2</v>
      </c>
      <c r="S239" t="str">
        <f>IF(R239&gt;=5,"High Risk",IF(R239&gt;=3, "Medium Risk", "Low Risk"))</f>
        <v>Low Risk</v>
      </c>
    </row>
    <row r="240" spans="1:19" x14ac:dyDescent="0.25">
      <c r="A240" t="s">
        <v>283</v>
      </c>
      <c r="B240" t="s">
        <v>31</v>
      </c>
      <c r="C240" t="s">
        <v>21</v>
      </c>
      <c r="D240">
        <v>1139487</v>
      </c>
      <c r="E240">
        <v>7</v>
      </c>
      <c r="F240">
        <v>60</v>
      </c>
      <c r="G240" t="s">
        <v>68</v>
      </c>
      <c r="H240">
        <v>5</v>
      </c>
      <c r="I240" t="s">
        <v>23</v>
      </c>
      <c r="J240" t="str">
        <f>IF(E240&gt;30,"High",IF(E240&gt;10,"Medium","Low"))</f>
        <v>Low</v>
      </c>
      <c r="K240" t="str">
        <f>IF(F240&gt;90,"High",IF(F240&gt;75,"Medium","Low"))</f>
        <v>Low</v>
      </c>
      <c r="L240" t="str">
        <f>IF(G240="Declining","High","Low")</f>
        <v>Low</v>
      </c>
      <c r="M240" t="str">
        <f>IF(H240&gt;=3,"High",IF(H240=1,"Medium","Low"))</f>
        <v>High</v>
      </c>
      <c r="N240">
        <f>IF(J240="high",2,IF(J240="Medium",1,0))</f>
        <v>0</v>
      </c>
      <c r="O240">
        <f>IF(K240="high",2,IF(K240="medium",1,0))</f>
        <v>0</v>
      </c>
      <c r="P240">
        <f>IF(L240="high",2,0)</f>
        <v>0</v>
      </c>
      <c r="Q240">
        <f>IF(M240="high",2,IF(M240="medium",1,0))</f>
        <v>2</v>
      </c>
      <c r="R240">
        <f>SUM(N240:Q240)</f>
        <v>2</v>
      </c>
      <c r="S240" t="str">
        <f>IF(R240&gt;=5,"High Risk",IF(R240&gt;=3, "Medium Risk", "Low Risk"))</f>
        <v>Low Risk</v>
      </c>
    </row>
    <row r="241" spans="1:19" x14ac:dyDescent="0.25">
      <c r="A241" t="s">
        <v>284</v>
      </c>
      <c r="B241" t="s">
        <v>31</v>
      </c>
      <c r="C241" t="s">
        <v>54</v>
      </c>
      <c r="D241">
        <v>425875</v>
      </c>
      <c r="E241">
        <v>0</v>
      </c>
      <c r="F241">
        <v>62</v>
      </c>
      <c r="G241" t="s">
        <v>68</v>
      </c>
      <c r="H241">
        <v>4</v>
      </c>
      <c r="I241" t="s">
        <v>23</v>
      </c>
      <c r="J241" t="str">
        <f>IF(E241&gt;30,"High",IF(E241&gt;10,"Medium","Low"))</f>
        <v>Low</v>
      </c>
      <c r="K241" t="str">
        <f>IF(F241&gt;90,"High",IF(F241&gt;75,"Medium","Low"))</f>
        <v>Low</v>
      </c>
      <c r="L241" t="str">
        <f>IF(G241="Declining","High","Low")</f>
        <v>Low</v>
      </c>
      <c r="M241" t="str">
        <f>IF(H241&gt;=3,"High",IF(H241=1,"Medium","Low"))</f>
        <v>High</v>
      </c>
      <c r="N241">
        <f>IF(J241="high",2,IF(J241="Medium",1,0))</f>
        <v>0</v>
      </c>
      <c r="O241">
        <f>IF(K241="high",2,IF(K241="medium",1,0))</f>
        <v>0</v>
      </c>
      <c r="P241">
        <f>IF(L241="high",2,0)</f>
        <v>0</v>
      </c>
      <c r="Q241">
        <f>IF(M241="high",2,IF(M241="medium",1,0))</f>
        <v>2</v>
      </c>
      <c r="R241">
        <f>SUM(N241:Q241)</f>
        <v>2</v>
      </c>
      <c r="S241" t="str">
        <f>IF(R241&gt;=5,"High Risk",IF(R241&gt;=3, "Medium Risk", "Low Risk"))</f>
        <v>Low Risk</v>
      </c>
    </row>
    <row r="242" spans="1:19" x14ac:dyDescent="0.25">
      <c r="A242" t="s">
        <v>285</v>
      </c>
      <c r="B242" t="s">
        <v>31</v>
      </c>
      <c r="C242" t="s">
        <v>28</v>
      </c>
      <c r="D242">
        <v>630545</v>
      </c>
      <c r="E242">
        <v>36</v>
      </c>
      <c r="F242">
        <v>40</v>
      </c>
      <c r="G242" t="s">
        <v>56</v>
      </c>
      <c r="H242">
        <v>2</v>
      </c>
      <c r="I242" t="s">
        <v>23</v>
      </c>
      <c r="J242" t="str">
        <f>IF(E242&gt;30,"High",IF(E242&gt;10,"Medium","Low"))</f>
        <v>High</v>
      </c>
      <c r="K242" t="str">
        <f>IF(F242&gt;90,"High",IF(F242&gt;75,"Medium","Low"))</f>
        <v>Low</v>
      </c>
      <c r="L242" t="str">
        <f>IF(G242="Declining","High","Low")</f>
        <v>Low</v>
      </c>
      <c r="M242" t="str">
        <f>IF(H242&gt;=3,"High",IF(H242=1,"Medium","Low"))</f>
        <v>Low</v>
      </c>
      <c r="N242">
        <f>IF(J242="high",2,IF(J242="Medium",1,0))</f>
        <v>2</v>
      </c>
      <c r="O242">
        <f>IF(K242="high",2,IF(K242="medium",1,0))</f>
        <v>0</v>
      </c>
      <c r="P242">
        <f>IF(L242="high",2,0)</f>
        <v>0</v>
      </c>
      <c r="Q242">
        <f>IF(M242="high",2,IF(M242="medium",1,0))</f>
        <v>0</v>
      </c>
      <c r="R242">
        <f>SUM(N242:Q242)</f>
        <v>2</v>
      </c>
      <c r="S242" t="str">
        <f>IF(R242&gt;=5,"High Risk",IF(R242&gt;=3, "Medium Risk", "Low Risk"))</f>
        <v>Low Risk</v>
      </c>
    </row>
    <row r="243" spans="1:19" x14ac:dyDescent="0.25">
      <c r="A243" t="s">
        <v>286</v>
      </c>
      <c r="B243" t="s">
        <v>20</v>
      </c>
      <c r="C243" t="s">
        <v>54</v>
      </c>
      <c r="D243">
        <v>1013560</v>
      </c>
      <c r="E243">
        <v>8</v>
      </c>
      <c r="F243">
        <v>72</v>
      </c>
      <c r="G243" t="s">
        <v>68</v>
      </c>
      <c r="H243">
        <v>3</v>
      </c>
      <c r="I243" t="s">
        <v>23</v>
      </c>
      <c r="J243" t="str">
        <f>IF(E243&gt;30,"High",IF(E243&gt;10,"Medium","Low"))</f>
        <v>Low</v>
      </c>
      <c r="K243" t="str">
        <f>IF(F243&gt;90,"High",IF(F243&gt;75,"Medium","Low"))</f>
        <v>Low</v>
      </c>
      <c r="L243" t="str">
        <f>IF(G243="Declining","High","Low")</f>
        <v>Low</v>
      </c>
      <c r="M243" t="str">
        <f>IF(H243&gt;=3,"High",IF(H243=1,"Medium","Low"))</f>
        <v>High</v>
      </c>
      <c r="N243">
        <f>IF(J243="high",2,IF(J243="Medium",1,0))</f>
        <v>0</v>
      </c>
      <c r="O243">
        <f>IF(K243="high",2,IF(K243="medium",1,0))</f>
        <v>0</v>
      </c>
      <c r="P243">
        <f>IF(L243="high",2,0)</f>
        <v>0</v>
      </c>
      <c r="Q243">
        <f>IF(M243="high",2,IF(M243="medium",1,0))</f>
        <v>2</v>
      </c>
      <c r="R243">
        <f>SUM(N243:Q243)</f>
        <v>2</v>
      </c>
      <c r="S243" t="str">
        <f>IF(R243&gt;=5,"High Risk",IF(R243&gt;=3, "Medium Risk", "Low Risk"))</f>
        <v>Low Risk</v>
      </c>
    </row>
    <row r="244" spans="1:19" x14ac:dyDescent="0.25">
      <c r="A244" t="s">
        <v>287</v>
      </c>
      <c r="B244" t="s">
        <v>41</v>
      </c>
      <c r="C244" t="s">
        <v>34</v>
      </c>
      <c r="D244">
        <v>842301</v>
      </c>
      <c r="E244">
        <v>1</v>
      </c>
      <c r="F244">
        <v>44</v>
      </c>
      <c r="G244" t="s">
        <v>68</v>
      </c>
      <c r="H244">
        <v>4</v>
      </c>
      <c r="I244" t="s">
        <v>24</v>
      </c>
      <c r="J244" t="str">
        <f>IF(E244&gt;30,"High",IF(E244&gt;10,"Medium","Low"))</f>
        <v>Low</v>
      </c>
      <c r="K244" t="str">
        <f>IF(F244&gt;90,"High",IF(F244&gt;75,"Medium","Low"))</f>
        <v>Low</v>
      </c>
      <c r="L244" t="str">
        <f>IF(G244="Declining","High","Low")</f>
        <v>Low</v>
      </c>
      <c r="M244" t="str">
        <f>IF(H244&gt;=3,"High",IF(H244=1,"Medium","Low"))</f>
        <v>High</v>
      </c>
      <c r="N244">
        <f>IF(J244="high",2,IF(J244="Medium",1,0))</f>
        <v>0</v>
      </c>
      <c r="O244">
        <f>IF(K244="high",2,IF(K244="medium",1,0))</f>
        <v>0</v>
      </c>
      <c r="P244">
        <f>IF(L244="high",2,0)</f>
        <v>0</v>
      </c>
      <c r="Q244">
        <f>IF(M244="high",2,IF(M244="medium",1,0))</f>
        <v>2</v>
      </c>
      <c r="R244">
        <f>SUM(N244:Q244)</f>
        <v>2</v>
      </c>
      <c r="S244" t="str">
        <f>IF(R244&gt;=5,"High Risk",IF(R244&gt;=3, "Medium Risk", "Low Risk"))</f>
        <v>Low Risk</v>
      </c>
    </row>
    <row r="245" spans="1:19" x14ac:dyDescent="0.25">
      <c r="A245" t="s">
        <v>288</v>
      </c>
      <c r="B245" t="s">
        <v>31</v>
      </c>
      <c r="C245" t="s">
        <v>54</v>
      </c>
      <c r="D245">
        <v>1495679</v>
      </c>
      <c r="E245">
        <v>1</v>
      </c>
      <c r="F245">
        <v>74</v>
      </c>
      <c r="G245" t="s">
        <v>22</v>
      </c>
      <c r="H245">
        <v>2</v>
      </c>
      <c r="I245" t="s">
        <v>35</v>
      </c>
      <c r="J245" t="str">
        <f>IF(E245&gt;30,"High",IF(E245&gt;10,"Medium","Low"))</f>
        <v>Low</v>
      </c>
      <c r="K245" t="str">
        <f>IF(F245&gt;90,"High",IF(F245&gt;75,"Medium","Low"))</f>
        <v>Low</v>
      </c>
      <c r="L245" t="str">
        <f>IF(G245="Declining","High","Low")</f>
        <v>High</v>
      </c>
      <c r="M245" t="str">
        <f>IF(H245&gt;=3,"High",IF(H245=1,"Medium","Low"))</f>
        <v>Low</v>
      </c>
      <c r="N245">
        <f>IF(J245="high",2,IF(J245="Medium",1,0))</f>
        <v>0</v>
      </c>
      <c r="O245">
        <f>IF(K245="high",2,IF(K245="medium",1,0))</f>
        <v>0</v>
      </c>
      <c r="P245">
        <f>IF(L245="high",2,0)</f>
        <v>2</v>
      </c>
      <c r="Q245">
        <f>IF(M245="high",2,IF(M245="medium",1,0))</f>
        <v>0</v>
      </c>
      <c r="R245">
        <f>SUM(N245:Q245)</f>
        <v>2</v>
      </c>
      <c r="S245" t="str">
        <f>IF(R245&gt;=5,"High Risk",IF(R245&gt;=3, "Medium Risk", "Low Risk"))</f>
        <v>Low Risk</v>
      </c>
    </row>
    <row r="246" spans="1:19" x14ac:dyDescent="0.25">
      <c r="A246" t="s">
        <v>289</v>
      </c>
      <c r="B246" t="s">
        <v>41</v>
      </c>
      <c r="C246" t="s">
        <v>42</v>
      </c>
      <c r="D246">
        <v>385203</v>
      </c>
      <c r="E246">
        <v>53</v>
      </c>
      <c r="F246">
        <v>60</v>
      </c>
      <c r="G246" t="s">
        <v>56</v>
      </c>
      <c r="H246">
        <v>2</v>
      </c>
      <c r="I246" t="s">
        <v>35</v>
      </c>
      <c r="J246" t="str">
        <f>IF(E246&gt;30,"High",IF(E246&gt;10,"Medium","Low"))</f>
        <v>High</v>
      </c>
      <c r="K246" t="str">
        <f>IF(F246&gt;90,"High",IF(F246&gt;75,"Medium","Low"))</f>
        <v>Low</v>
      </c>
      <c r="L246" t="str">
        <f>IF(G246="Declining","High","Low")</f>
        <v>Low</v>
      </c>
      <c r="M246" t="str">
        <f>IF(H246&gt;=3,"High",IF(H246=1,"Medium","Low"))</f>
        <v>Low</v>
      </c>
      <c r="N246">
        <f>IF(J246="high",2,IF(J246="Medium",1,0))</f>
        <v>2</v>
      </c>
      <c r="O246">
        <f>IF(K246="high",2,IF(K246="medium",1,0))</f>
        <v>0</v>
      </c>
      <c r="P246">
        <f>IF(L246="high",2,0)</f>
        <v>0</v>
      </c>
      <c r="Q246">
        <f>IF(M246="high",2,IF(M246="medium",1,0))</f>
        <v>0</v>
      </c>
      <c r="R246">
        <f>SUM(N246:Q246)</f>
        <v>2</v>
      </c>
      <c r="S246" t="str">
        <f>IF(R246&gt;=5,"High Risk",IF(R246&gt;=3, "Medium Risk", "Low Risk"))</f>
        <v>Low Risk</v>
      </c>
    </row>
    <row r="247" spans="1:19" x14ac:dyDescent="0.25">
      <c r="A247" t="s">
        <v>290</v>
      </c>
      <c r="B247" t="s">
        <v>41</v>
      </c>
      <c r="C247" t="s">
        <v>54</v>
      </c>
      <c r="D247">
        <v>1318427</v>
      </c>
      <c r="E247">
        <v>23</v>
      </c>
      <c r="F247">
        <v>78</v>
      </c>
      <c r="G247" t="s">
        <v>56</v>
      </c>
      <c r="H247">
        <v>2</v>
      </c>
      <c r="I247" t="s">
        <v>35</v>
      </c>
      <c r="J247" t="str">
        <f>IF(E247&gt;30,"High",IF(E247&gt;10,"Medium","Low"))</f>
        <v>Medium</v>
      </c>
      <c r="K247" t="str">
        <f>IF(F247&gt;90,"High",IF(F247&gt;75,"Medium","Low"))</f>
        <v>Medium</v>
      </c>
      <c r="L247" t="str">
        <f>IF(G247="Declining","High","Low")</f>
        <v>Low</v>
      </c>
      <c r="M247" t="str">
        <f>IF(H247&gt;=3,"High",IF(H247=1,"Medium","Low"))</f>
        <v>Low</v>
      </c>
      <c r="N247">
        <f>IF(J247="high",2,IF(J247="Medium",1,0))</f>
        <v>1</v>
      </c>
      <c r="O247">
        <f>IF(K247="high",2,IF(K247="medium",1,0))</f>
        <v>1</v>
      </c>
      <c r="P247">
        <f>IF(L247="high",2,0)</f>
        <v>0</v>
      </c>
      <c r="Q247">
        <f>IF(M247="high",2,IF(M247="medium",1,0))</f>
        <v>0</v>
      </c>
      <c r="R247">
        <f>SUM(N247:Q247)</f>
        <v>2</v>
      </c>
      <c r="S247" t="str">
        <f>IF(R247&gt;=5,"High Risk",IF(R247&gt;=3, "Medium Risk", "Low Risk"))</f>
        <v>Low Risk</v>
      </c>
    </row>
    <row r="248" spans="1:19" x14ac:dyDescent="0.25">
      <c r="A248" t="s">
        <v>291</v>
      </c>
      <c r="B248" t="s">
        <v>20</v>
      </c>
      <c r="C248" t="s">
        <v>54</v>
      </c>
      <c r="D248">
        <v>583563</v>
      </c>
      <c r="E248">
        <v>8</v>
      </c>
      <c r="F248">
        <v>93</v>
      </c>
      <c r="G248" t="s">
        <v>56</v>
      </c>
      <c r="H248">
        <v>2</v>
      </c>
      <c r="I248" t="s">
        <v>35</v>
      </c>
      <c r="J248" t="str">
        <f>IF(E248&gt;30,"High",IF(E248&gt;10,"Medium","Low"))</f>
        <v>Low</v>
      </c>
      <c r="K248" t="str">
        <f>IF(F248&gt;90,"High",IF(F248&gt;75,"Medium","Low"))</f>
        <v>High</v>
      </c>
      <c r="L248" t="str">
        <f>IF(G248="Declining","High","Low")</f>
        <v>Low</v>
      </c>
      <c r="M248" t="str">
        <f>IF(H248&gt;=3,"High",IF(H248=1,"Medium","Low"))</f>
        <v>Low</v>
      </c>
      <c r="N248">
        <f>IF(J248="high",2,IF(J248="Medium",1,0))</f>
        <v>0</v>
      </c>
      <c r="O248">
        <f>IF(K248="high",2,IF(K248="medium",1,0))</f>
        <v>2</v>
      </c>
      <c r="P248">
        <f>IF(L248="high",2,0)</f>
        <v>0</v>
      </c>
      <c r="Q248">
        <f>IF(M248="high",2,IF(M248="medium",1,0))</f>
        <v>0</v>
      </c>
      <c r="R248">
        <f>SUM(N248:Q248)</f>
        <v>2</v>
      </c>
      <c r="S248" t="str">
        <f>IF(R248&gt;=5,"High Risk",IF(R248&gt;=3, "Medium Risk", "Low Risk"))</f>
        <v>Low Risk</v>
      </c>
    </row>
    <row r="249" spans="1:19" x14ac:dyDescent="0.25">
      <c r="A249" t="s">
        <v>292</v>
      </c>
      <c r="B249" t="s">
        <v>48</v>
      </c>
      <c r="C249" t="s">
        <v>54</v>
      </c>
      <c r="D249">
        <v>362611</v>
      </c>
      <c r="E249">
        <v>21</v>
      </c>
      <c r="F249">
        <v>82</v>
      </c>
      <c r="G249" t="s">
        <v>56</v>
      </c>
      <c r="H249">
        <v>0</v>
      </c>
      <c r="I249" t="s">
        <v>24</v>
      </c>
      <c r="J249" t="str">
        <f>IF(E249&gt;30,"High",IF(E249&gt;10,"Medium","Low"))</f>
        <v>Medium</v>
      </c>
      <c r="K249" t="str">
        <f>IF(F249&gt;90,"High",IF(F249&gt;75,"Medium","Low"))</f>
        <v>Medium</v>
      </c>
      <c r="L249" t="str">
        <f>IF(G249="Declining","High","Low")</f>
        <v>Low</v>
      </c>
      <c r="M249" t="str">
        <f>IF(H249&gt;=3,"High",IF(H249=1,"Medium","Low"))</f>
        <v>Low</v>
      </c>
      <c r="N249">
        <f>IF(J249="high",2,IF(J249="Medium",1,0))</f>
        <v>1</v>
      </c>
      <c r="O249">
        <f>IF(K249="high",2,IF(K249="medium",1,0))</f>
        <v>1</v>
      </c>
      <c r="P249">
        <f>IF(L249="high",2,0)</f>
        <v>0</v>
      </c>
      <c r="Q249">
        <f>IF(M249="high",2,IF(M249="medium",1,0))</f>
        <v>0</v>
      </c>
      <c r="R249">
        <f>SUM(N249:Q249)</f>
        <v>2</v>
      </c>
      <c r="S249" t="str">
        <f>IF(R249&gt;=5,"High Risk",IF(R249&gt;=3, "Medium Risk", "Low Risk"))</f>
        <v>Low Risk</v>
      </c>
    </row>
    <row r="250" spans="1:19" x14ac:dyDescent="0.25">
      <c r="A250" t="s">
        <v>293</v>
      </c>
      <c r="B250" t="s">
        <v>38</v>
      </c>
      <c r="C250" t="s">
        <v>28</v>
      </c>
      <c r="D250">
        <v>743265</v>
      </c>
      <c r="E250">
        <v>41</v>
      </c>
      <c r="F250">
        <v>64</v>
      </c>
      <c r="G250" t="s">
        <v>68</v>
      </c>
      <c r="H250">
        <v>0</v>
      </c>
      <c r="I250" t="s">
        <v>23</v>
      </c>
      <c r="J250" t="str">
        <f>IF(E250&gt;30,"High",IF(E250&gt;10,"Medium","Low"))</f>
        <v>High</v>
      </c>
      <c r="K250" t="str">
        <f>IF(F250&gt;90,"High",IF(F250&gt;75,"Medium","Low"))</f>
        <v>Low</v>
      </c>
      <c r="L250" t="str">
        <f>IF(G250="Declining","High","Low")</f>
        <v>Low</v>
      </c>
      <c r="M250" t="str">
        <f>IF(H250&gt;=3,"High",IF(H250=1,"Medium","Low"))</f>
        <v>Low</v>
      </c>
      <c r="N250">
        <f>IF(J250="high",2,IF(J250="Medium",1,0))</f>
        <v>2</v>
      </c>
      <c r="O250">
        <f>IF(K250="high",2,IF(K250="medium",1,0))</f>
        <v>0</v>
      </c>
      <c r="P250">
        <f>IF(L250="high",2,0)</f>
        <v>0</v>
      </c>
      <c r="Q250">
        <f>IF(M250="high",2,IF(M250="medium",1,0))</f>
        <v>0</v>
      </c>
      <c r="R250">
        <f>SUM(N250:Q250)</f>
        <v>2</v>
      </c>
      <c r="S250" t="str">
        <f>IF(R250&gt;=5,"High Risk",IF(R250&gt;=3, "Medium Risk", "Low Risk"))</f>
        <v>Low Risk</v>
      </c>
    </row>
    <row r="251" spans="1:19" x14ac:dyDescent="0.25">
      <c r="A251" t="s">
        <v>294</v>
      </c>
      <c r="B251" t="s">
        <v>41</v>
      </c>
      <c r="C251" t="s">
        <v>42</v>
      </c>
      <c r="D251">
        <v>574790</v>
      </c>
      <c r="E251">
        <v>47</v>
      </c>
      <c r="F251">
        <v>53</v>
      </c>
      <c r="G251" t="s">
        <v>56</v>
      </c>
      <c r="H251">
        <v>2</v>
      </c>
      <c r="I251" t="s">
        <v>24</v>
      </c>
      <c r="J251" t="str">
        <f>IF(E251&gt;30,"High",IF(E251&gt;10,"Medium","Low"))</f>
        <v>High</v>
      </c>
      <c r="K251" t="str">
        <f>IF(F251&gt;90,"High",IF(F251&gt;75,"Medium","Low"))</f>
        <v>Low</v>
      </c>
      <c r="L251" t="str">
        <f>IF(G251="Declining","High","Low")</f>
        <v>Low</v>
      </c>
      <c r="M251" t="str">
        <f>IF(H251&gt;=3,"High",IF(H251=1,"Medium","Low"))</f>
        <v>Low</v>
      </c>
      <c r="N251">
        <f>IF(J251="high",2,IF(J251="Medium",1,0))</f>
        <v>2</v>
      </c>
      <c r="O251">
        <f>IF(K251="high",2,IF(K251="medium",1,0))</f>
        <v>0</v>
      </c>
      <c r="P251">
        <f>IF(L251="high",2,0)</f>
        <v>0</v>
      </c>
      <c r="Q251">
        <f>IF(M251="high",2,IF(M251="medium",1,0))</f>
        <v>0</v>
      </c>
      <c r="R251">
        <f>SUM(N251:Q251)</f>
        <v>2</v>
      </c>
      <c r="S251" t="str">
        <f>IF(R251&gt;=5,"High Risk",IF(R251&gt;=3, "Medium Risk", "Low Risk"))</f>
        <v>Low Risk</v>
      </c>
    </row>
    <row r="252" spans="1:19" x14ac:dyDescent="0.25">
      <c r="A252" t="s">
        <v>295</v>
      </c>
      <c r="B252" t="s">
        <v>48</v>
      </c>
      <c r="C252" t="s">
        <v>28</v>
      </c>
      <c r="D252">
        <v>1080099</v>
      </c>
      <c r="E252">
        <v>20</v>
      </c>
      <c r="F252">
        <v>84</v>
      </c>
      <c r="G252" t="s">
        <v>56</v>
      </c>
      <c r="H252">
        <v>2</v>
      </c>
      <c r="I252" t="s">
        <v>24</v>
      </c>
      <c r="J252" t="str">
        <f>IF(E252&gt;30,"High",IF(E252&gt;10,"Medium","Low"))</f>
        <v>Medium</v>
      </c>
      <c r="K252" t="str">
        <f>IF(F252&gt;90,"High",IF(F252&gt;75,"Medium","Low"))</f>
        <v>Medium</v>
      </c>
      <c r="L252" t="str">
        <f>IF(G252="Declining","High","Low")</f>
        <v>Low</v>
      </c>
      <c r="M252" t="str">
        <f>IF(H252&gt;=3,"High",IF(H252=1,"Medium","Low"))</f>
        <v>Low</v>
      </c>
      <c r="N252">
        <f>IF(J252="high",2,IF(J252="Medium",1,0))</f>
        <v>1</v>
      </c>
      <c r="O252">
        <f>IF(K252="high",2,IF(K252="medium",1,0))</f>
        <v>1</v>
      </c>
      <c r="P252">
        <f>IF(L252="high",2,0)</f>
        <v>0</v>
      </c>
      <c r="Q252">
        <f>IF(M252="high",2,IF(M252="medium",1,0))</f>
        <v>0</v>
      </c>
      <c r="R252">
        <f>SUM(N252:Q252)</f>
        <v>2</v>
      </c>
      <c r="S252" t="str">
        <f>IF(R252&gt;=5,"High Risk",IF(R252&gt;=3, "Medium Risk", "Low Risk"))</f>
        <v>Low Risk</v>
      </c>
    </row>
    <row r="253" spans="1:19" x14ac:dyDescent="0.25">
      <c r="A253" t="s">
        <v>296</v>
      </c>
      <c r="B253" t="s">
        <v>31</v>
      </c>
      <c r="C253" t="s">
        <v>54</v>
      </c>
      <c r="D253">
        <v>748448</v>
      </c>
      <c r="E253">
        <v>5</v>
      </c>
      <c r="F253">
        <v>68</v>
      </c>
      <c r="G253" t="s">
        <v>22</v>
      </c>
      <c r="H253">
        <v>0</v>
      </c>
      <c r="I253" t="s">
        <v>24</v>
      </c>
      <c r="J253" t="str">
        <f>IF(E253&gt;30,"High",IF(E253&gt;10,"Medium","Low"))</f>
        <v>Low</v>
      </c>
      <c r="K253" t="str">
        <f>IF(F253&gt;90,"High",IF(F253&gt;75,"Medium","Low"))</f>
        <v>Low</v>
      </c>
      <c r="L253" t="str">
        <f>IF(G253="Declining","High","Low")</f>
        <v>High</v>
      </c>
      <c r="M253" t="str">
        <f>IF(H253&gt;=3,"High",IF(H253=1,"Medium","Low"))</f>
        <v>Low</v>
      </c>
      <c r="N253">
        <f>IF(J253="high",2,IF(J253="Medium",1,0))</f>
        <v>0</v>
      </c>
      <c r="O253">
        <f>IF(K253="high",2,IF(K253="medium",1,0))</f>
        <v>0</v>
      </c>
      <c r="P253">
        <f>IF(L253="high",2,0)</f>
        <v>2</v>
      </c>
      <c r="Q253">
        <f>IF(M253="high",2,IF(M253="medium",1,0))</f>
        <v>0</v>
      </c>
      <c r="R253">
        <f>SUM(N253:Q253)</f>
        <v>2</v>
      </c>
      <c r="S253" t="str">
        <f>IF(R253&gt;=5,"High Risk",IF(R253&gt;=3, "Medium Risk", "Low Risk"))</f>
        <v>Low Risk</v>
      </c>
    </row>
    <row r="254" spans="1:19" x14ac:dyDescent="0.25">
      <c r="A254" t="s">
        <v>297</v>
      </c>
      <c r="B254" t="s">
        <v>48</v>
      </c>
      <c r="C254" t="s">
        <v>28</v>
      </c>
      <c r="D254">
        <v>1351202</v>
      </c>
      <c r="E254">
        <v>10</v>
      </c>
      <c r="F254">
        <v>62</v>
      </c>
      <c r="G254" t="s">
        <v>22</v>
      </c>
      <c r="H254">
        <v>2</v>
      </c>
      <c r="I254" t="s">
        <v>23</v>
      </c>
      <c r="J254" t="str">
        <f>IF(E254&gt;30,"High",IF(E254&gt;10,"Medium","Low"))</f>
        <v>Low</v>
      </c>
      <c r="K254" t="str">
        <f>IF(F254&gt;90,"High",IF(F254&gt;75,"Medium","Low"))</f>
        <v>Low</v>
      </c>
      <c r="L254" t="str">
        <f>IF(G254="Declining","High","Low")</f>
        <v>High</v>
      </c>
      <c r="M254" t="str">
        <f>IF(H254&gt;=3,"High",IF(H254=1,"Medium","Low"))</f>
        <v>Low</v>
      </c>
      <c r="N254">
        <f>IF(J254="high",2,IF(J254="Medium",1,0))</f>
        <v>0</v>
      </c>
      <c r="O254">
        <f>IF(K254="high",2,IF(K254="medium",1,0))</f>
        <v>0</v>
      </c>
      <c r="P254">
        <f>IF(L254="high",2,0)</f>
        <v>2</v>
      </c>
      <c r="Q254">
        <f>IF(M254="high",2,IF(M254="medium",1,0))</f>
        <v>0</v>
      </c>
      <c r="R254">
        <f>SUM(N254:Q254)</f>
        <v>2</v>
      </c>
      <c r="S254" t="str">
        <f>IF(R254&gt;=5,"High Risk",IF(R254&gt;=3, "Medium Risk", "Low Risk"))</f>
        <v>Low Risk</v>
      </c>
    </row>
    <row r="255" spans="1:19" x14ac:dyDescent="0.25">
      <c r="A255" t="s">
        <v>298</v>
      </c>
      <c r="B255" t="s">
        <v>31</v>
      </c>
      <c r="C255" t="s">
        <v>21</v>
      </c>
      <c r="D255">
        <v>1390257</v>
      </c>
      <c r="E255">
        <v>10</v>
      </c>
      <c r="F255">
        <v>73</v>
      </c>
      <c r="G255" t="s">
        <v>56</v>
      </c>
      <c r="H255">
        <v>4</v>
      </c>
      <c r="I255" t="s">
        <v>24</v>
      </c>
      <c r="J255" t="str">
        <f>IF(E255&gt;30,"High",IF(E255&gt;10,"Medium","Low"))</f>
        <v>Low</v>
      </c>
      <c r="K255" t="str">
        <f>IF(F255&gt;90,"High",IF(F255&gt;75,"Medium","Low"))</f>
        <v>Low</v>
      </c>
      <c r="L255" t="str">
        <f>IF(G255="Declining","High","Low")</f>
        <v>Low</v>
      </c>
      <c r="M255" t="str">
        <f>IF(H255&gt;=3,"High",IF(H255=1,"Medium","Low"))</f>
        <v>High</v>
      </c>
      <c r="N255">
        <f>IF(J255="high",2,IF(J255="Medium",1,0))</f>
        <v>0</v>
      </c>
      <c r="O255">
        <f>IF(K255="high",2,IF(K255="medium",1,0))</f>
        <v>0</v>
      </c>
      <c r="P255">
        <f>IF(L255="high",2,0)</f>
        <v>0</v>
      </c>
      <c r="Q255">
        <f>IF(M255="high",2,IF(M255="medium",1,0))</f>
        <v>2</v>
      </c>
      <c r="R255">
        <f>SUM(N255:Q255)</f>
        <v>2</v>
      </c>
      <c r="S255" t="str">
        <f>IF(R255&gt;=5,"High Risk",IF(R255&gt;=3, "Medium Risk", "Low Risk"))</f>
        <v>Low Risk</v>
      </c>
    </row>
    <row r="256" spans="1:19" x14ac:dyDescent="0.25">
      <c r="A256" t="s">
        <v>299</v>
      </c>
      <c r="B256" t="s">
        <v>20</v>
      </c>
      <c r="C256" t="s">
        <v>42</v>
      </c>
      <c r="D256">
        <v>602317</v>
      </c>
      <c r="E256">
        <v>9</v>
      </c>
      <c r="F256">
        <v>56</v>
      </c>
      <c r="G256" t="s">
        <v>68</v>
      </c>
      <c r="H256">
        <v>5</v>
      </c>
      <c r="I256" t="s">
        <v>23</v>
      </c>
      <c r="J256" t="str">
        <f>IF(E256&gt;30,"High",IF(E256&gt;10,"Medium","Low"))</f>
        <v>Low</v>
      </c>
      <c r="K256" t="str">
        <f>IF(F256&gt;90,"High",IF(F256&gt;75,"Medium","Low"))</f>
        <v>Low</v>
      </c>
      <c r="L256" t="str">
        <f>IF(G256="Declining","High","Low")</f>
        <v>Low</v>
      </c>
      <c r="M256" t="str">
        <f>IF(H256&gt;=3,"High",IF(H256=1,"Medium","Low"))</f>
        <v>High</v>
      </c>
      <c r="N256">
        <f>IF(J256="high",2,IF(J256="Medium",1,0))</f>
        <v>0</v>
      </c>
      <c r="O256">
        <f>IF(K256="high",2,IF(K256="medium",1,0))</f>
        <v>0</v>
      </c>
      <c r="P256">
        <f>IF(L256="high",2,0)</f>
        <v>0</v>
      </c>
      <c r="Q256">
        <f>IF(M256="high",2,IF(M256="medium",1,0))</f>
        <v>2</v>
      </c>
      <c r="R256">
        <f>SUM(N256:Q256)</f>
        <v>2</v>
      </c>
      <c r="S256" t="str">
        <f>IF(R256&gt;=5,"High Risk",IF(R256&gt;=3, "Medium Risk", "Low Risk"))</f>
        <v>Low Risk</v>
      </c>
    </row>
    <row r="257" spans="1:19" x14ac:dyDescent="0.25">
      <c r="A257" t="s">
        <v>300</v>
      </c>
      <c r="B257" t="s">
        <v>38</v>
      </c>
      <c r="C257" t="s">
        <v>34</v>
      </c>
      <c r="D257">
        <v>1376561</v>
      </c>
      <c r="E257">
        <v>7</v>
      </c>
      <c r="F257">
        <v>86</v>
      </c>
      <c r="G257" t="s">
        <v>56</v>
      </c>
      <c r="H257">
        <v>1</v>
      </c>
      <c r="I257" t="s">
        <v>24</v>
      </c>
      <c r="J257" t="str">
        <f>IF(E257&gt;30,"High",IF(E257&gt;10,"Medium","Low"))</f>
        <v>Low</v>
      </c>
      <c r="K257" t="str">
        <f>IF(F257&gt;90,"High",IF(F257&gt;75,"Medium","Low"))</f>
        <v>Medium</v>
      </c>
      <c r="L257" t="str">
        <f>IF(G257="Declining","High","Low")</f>
        <v>Low</v>
      </c>
      <c r="M257" t="str">
        <f>IF(H257&gt;=3,"High",IF(H257=1,"Medium","Low"))</f>
        <v>Medium</v>
      </c>
      <c r="N257">
        <f>IF(J257="high",2,IF(J257="Medium",1,0))</f>
        <v>0</v>
      </c>
      <c r="O257">
        <f>IF(K257="high",2,IF(K257="medium",1,0))</f>
        <v>1</v>
      </c>
      <c r="P257">
        <f>IF(L257="high",2,0)</f>
        <v>0</v>
      </c>
      <c r="Q257">
        <f>IF(M257="high",2,IF(M257="medium",1,0))</f>
        <v>1</v>
      </c>
      <c r="R257">
        <f>SUM(N257:Q257)</f>
        <v>2</v>
      </c>
      <c r="S257" t="str">
        <f>IF(R257&gt;=5,"High Risk",IF(R257&gt;=3, "Medium Risk", "Low Risk"))</f>
        <v>Low Risk</v>
      </c>
    </row>
    <row r="258" spans="1:19" x14ac:dyDescent="0.25">
      <c r="A258" t="s">
        <v>301</v>
      </c>
      <c r="B258" t="s">
        <v>38</v>
      </c>
      <c r="C258" t="s">
        <v>34</v>
      </c>
      <c r="D258">
        <v>1267864</v>
      </c>
      <c r="E258">
        <v>48</v>
      </c>
      <c r="F258">
        <v>44</v>
      </c>
      <c r="G258" t="s">
        <v>56</v>
      </c>
      <c r="H258">
        <v>0</v>
      </c>
      <c r="I258" t="s">
        <v>24</v>
      </c>
      <c r="J258" t="str">
        <f>IF(E258&gt;30,"High",IF(E258&gt;10,"Medium","Low"))</f>
        <v>High</v>
      </c>
      <c r="K258" t="str">
        <f>IF(F258&gt;90,"High",IF(F258&gt;75,"Medium","Low"))</f>
        <v>Low</v>
      </c>
      <c r="L258" t="str">
        <f>IF(G258="Declining","High","Low")</f>
        <v>Low</v>
      </c>
      <c r="M258" t="str">
        <f>IF(H258&gt;=3,"High",IF(H258=1,"Medium","Low"))</f>
        <v>Low</v>
      </c>
      <c r="N258">
        <f>IF(J258="high",2,IF(J258="Medium",1,0))</f>
        <v>2</v>
      </c>
      <c r="O258">
        <f>IF(K258="high",2,IF(K258="medium",1,0))</f>
        <v>0</v>
      </c>
      <c r="P258">
        <f>IF(L258="high",2,0)</f>
        <v>0</v>
      </c>
      <c r="Q258">
        <f>IF(M258="high",2,IF(M258="medium",1,0))</f>
        <v>0</v>
      </c>
      <c r="R258">
        <f>SUM(N258:Q258)</f>
        <v>2</v>
      </c>
      <c r="S258" t="str">
        <f>IF(R258&gt;=5,"High Risk",IF(R258&gt;=3, "Medium Risk", "Low Risk"))</f>
        <v>Low Risk</v>
      </c>
    </row>
    <row r="259" spans="1:19" x14ac:dyDescent="0.25">
      <c r="A259" t="s">
        <v>302</v>
      </c>
      <c r="B259" t="s">
        <v>48</v>
      </c>
      <c r="C259" t="s">
        <v>34</v>
      </c>
      <c r="D259">
        <v>773001</v>
      </c>
      <c r="E259">
        <v>42</v>
      </c>
      <c r="F259">
        <v>55</v>
      </c>
      <c r="G259" t="s">
        <v>68</v>
      </c>
      <c r="H259">
        <v>0</v>
      </c>
      <c r="I259" t="s">
        <v>23</v>
      </c>
      <c r="J259" t="str">
        <f>IF(E259&gt;30,"High",IF(E259&gt;10,"Medium","Low"))</f>
        <v>High</v>
      </c>
      <c r="K259" t="str">
        <f>IF(F259&gt;90,"High",IF(F259&gt;75,"Medium","Low"))</f>
        <v>Low</v>
      </c>
      <c r="L259" t="str">
        <f>IF(G259="Declining","High","Low")</f>
        <v>Low</v>
      </c>
      <c r="M259" t="str">
        <f>IF(H259&gt;=3,"High",IF(H259=1,"Medium","Low"))</f>
        <v>Low</v>
      </c>
      <c r="N259">
        <f>IF(J259="high",2,IF(J259="Medium",1,0))</f>
        <v>2</v>
      </c>
      <c r="O259">
        <f>IF(K259="high",2,IF(K259="medium",1,0))</f>
        <v>0</v>
      </c>
      <c r="P259">
        <f>IF(L259="high",2,0)</f>
        <v>0</v>
      </c>
      <c r="Q259">
        <f>IF(M259="high",2,IF(M259="medium",1,0))</f>
        <v>0</v>
      </c>
      <c r="R259">
        <f>SUM(N259:Q259)</f>
        <v>2</v>
      </c>
      <c r="S259" t="str">
        <f>IF(R259&gt;=5,"High Risk",IF(R259&gt;=3, "Medium Risk", "Low Risk"))</f>
        <v>Low Risk</v>
      </c>
    </row>
    <row r="260" spans="1:19" x14ac:dyDescent="0.25">
      <c r="A260" t="s">
        <v>303</v>
      </c>
      <c r="B260" t="s">
        <v>38</v>
      </c>
      <c r="C260" t="s">
        <v>42</v>
      </c>
      <c r="D260">
        <v>833004</v>
      </c>
      <c r="E260">
        <v>5</v>
      </c>
      <c r="F260">
        <v>53</v>
      </c>
      <c r="G260" t="s">
        <v>56</v>
      </c>
      <c r="H260">
        <v>5</v>
      </c>
      <c r="I260" t="s">
        <v>23</v>
      </c>
      <c r="J260" t="str">
        <f>IF(E260&gt;30,"High",IF(E260&gt;10,"Medium","Low"))</f>
        <v>Low</v>
      </c>
      <c r="K260" t="str">
        <f>IF(F260&gt;90,"High",IF(F260&gt;75,"Medium","Low"))</f>
        <v>Low</v>
      </c>
      <c r="L260" t="str">
        <f>IF(G260="Declining","High","Low")</f>
        <v>Low</v>
      </c>
      <c r="M260" t="str">
        <f>IF(H260&gt;=3,"High",IF(H260=1,"Medium","Low"))</f>
        <v>High</v>
      </c>
      <c r="N260">
        <f>IF(J260="high",2,IF(J260="Medium",1,0))</f>
        <v>0</v>
      </c>
      <c r="O260">
        <f>IF(K260="high",2,IF(K260="medium",1,0))</f>
        <v>0</v>
      </c>
      <c r="P260">
        <f>IF(L260="high",2,0)</f>
        <v>0</v>
      </c>
      <c r="Q260">
        <f>IF(M260="high",2,IF(M260="medium",1,0))</f>
        <v>2</v>
      </c>
      <c r="R260">
        <f>SUM(N260:Q260)</f>
        <v>2</v>
      </c>
      <c r="S260" t="str">
        <f>IF(R260&gt;=5,"High Risk",IF(R260&gt;=3, "Medium Risk", "Low Risk"))</f>
        <v>Low Risk</v>
      </c>
    </row>
    <row r="261" spans="1:19" x14ac:dyDescent="0.25">
      <c r="A261" t="s">
        <v>304</v>
      </c>
      <c r="B261" t="s">
        <v>41</v>
      </c>
      <c r="C261" t="s">
        <v>34</v>
      </c>
      <c r="D261">
        <v>952139</v>
      </c>
      <c r="E261">
        <v>57</v>
      </c>
      <c r="F261">
        <v>63</v>
      </c>
      <c r="G261" t="s">
        <v>56</v>
      </c>
      <c r="H261">
        <v>2</v>
      </c>
      <c r="I261" t="s">
        <v>24</v>
      </c>
      <c r="J261" t="str">
        <f>IF(E261&gt;30,"High",IF(E261&gt;10,"Medium","Low"))</f>
        <v>High</v>
      </c>
      <c r="K261" t="str">
        <f>IF(F261&gt;90,"High",IF(F261&gt;75,"Medium","Low"))</f>
        <v>Low</v>
      </c>
      <c r="L261" t="str">
        <f>IF(G261="Declining","High","Low")</f>
        <v>Low</v>
      </c>
      <c r="M261" t="str">
        <f>IF(H261&gt;=3,"High",IF(H261=1,"Medium","Low"))</f>
        <v>Low</v>
      </c>
      <c r="N261">
        <f>IF(J261="high",2,IF(J261="Medium",1,0))</f>
        <v>2</v>
      </c>
      <c r="O261">
        <f>IF(K261="high",2,IF(K261="medium",1,0))</f>
        <v>0</v>
      </c>
      <c r="P261">
        <f>IF(L261="high",2,0)</f>
        <v>0</v>
      </c>
      <c r="Q261">
        <f>IF(M261="high",2,IF(M261="medium",1,0))</f>
        <v>0</v>
      </c>
      <c r="R261">
        <f>SUM(N261:Q261)</f>
        <v>2</v>
      </c>
      <c r="S261" t="str">
        <f>IF(R261&gt;=5,"High Risk",IF(R261&gt;=3, "Medium Risk", "Low Risk"))</f>
        <v>Low Risk</v>
      </c>
    </row>
    <row r="262" spans="1:19" x14ac:dyDescent="0.25">
      <c r="A262" t="s">
        <v>305</v>
      </c>
      <c r="B262" t="s">
        <v>20</v>
      </c>
      <c r="C262" t="s">
        <v>42</v>
      </c>
      <c r="D262">
        <v>538532</v>
      </c>
      <c r="E262">
        <v>23</v>
      </c>
      <c r="F262">
        <v>71</v>
      </c>
      <c r="G262" t="s">
        <v>56</v>
      </c>
      <c r="H262">
        <v>1</v>
      </c>
      <c r="I262" t="s">
        <v>23</v>
      </c>
      <c r="J262" t="str">
        <f>IF(E262&gt;30,"High",IF(E262&gt;10,"Medium","Low"))</f>
        <v>Medium</v>
      </c>
      <c r="K262" t="str">
        <f>IF(F262&gt;90,"High",IF(F262&gt;75,"Medium","Low"))</f>
        <v>Low</v>
      </c>
      <c r="L262" t="str">
        <f>IF(G262="Declining","High","Low")</f>
        <v>Low</v>
      </c>
      <c r="M262" t="str">
        <f>IF(H262&gt;=3,"High",IF(H262=1,"Medium","Low"))</f>
        <v>Medium</v>
      </c>
      <c r="N262">
        <f>IF(J262="high",2,IF(J262="Medium",1,0))</f>
        <v>1</v>
      </c>
      <c r="O262">
        <f>IF(K262="high",2,IF(K262="medium",1,0))</f>
        <v>0</v>
      </c>
      <c r="P262">
        <f>IF(L262="high",2,0)</f>
        <v>0</v>
      </c>
      <c r="Q262">
        <f>IF(M262="high",2,IF(M262="medium",1,0))</f>
        <v>1</v>
      </c>
      <c r="R262">
        <f>SUM(N262:Q262)</f>
        <v>2</v>
      </c>
      <c r="S262" t="str">
        <f>IF(R262&gt;=5,"High Risk",IF(R262&gt;=3, "Medium Risk", "Low Risk"))</f>
        <v>Low Risk</v>
      </c>
    </row>
    <row r="263" spans="1:19" x14ac:dyDescent="0.25">
      <c r="A263" t="s">
        <v>306</v>
      </c>
      <c r="B263" t="s">
        <v>38</v>
      </c>
      <c r="C263" t="s">
        <v>34</v>
      </c>
      <c r="D263">
        <v>1011868</v>
      </c>
      <c r="E263">
        <v>3</v>
      </c>
      <c r="F263">
        <v>46</v>
      </c>
      <c r="G263" t="s">
        <v>68</v>
      </c>
      <c r="H263">
        <v>4</v>
      </c>
      <c r="I263" t="s">
        <v>24</v>
      </c>
      <c r="J263" t="str">
        <f>IF(E263&gt;30,"High",IF(E263&gt;10,"Medium","Low"))</f>
        <v>Low</v>
      </c>
      <c r="K263" t="str">
        <f>IF(F263&gt;90,"High",IF(F263&gt;75,"Medium","Low"))</f>
        <v>Low</v>
      </c>
      <c r="L263" t="str">
        <f>IF(G263="Declining","High","Low")</f>
        <v>Low</v>
      </c>
      <c r="M263" t="str">
        <f>IF(H263&gt;=3,"High",IF(H263=1,"Medium","Low"))</f>
        <v>High</v>
      </c>
      <c r="N263">
        <f>IF(J263="high",2,IF(J263="Medium",1,0))</f>
        <v>0</v>
      </c>
      <c r="O263">
        <f>IF(K263="high",2,IF(K263="medium",1,0))</f>
        <v>0</v>
      </c>
      <c r="P263">
        <f>IF(L263="high",2,0)</f>
        <v>0</v>
      </c>
      <c r="Q263">
        <f>IF(M263="high",2,IF(M263="medium",1,0))</f>
        <v>2</v>
      </c>
      <c r="R263">
        <f>SUM(N263:Q263)</f>
        <v>2</v>
      </c>
      <c r="S263" t="str">
        <f>IF(R263&gt;=5,"High Risk",IF(R263&gt;=3, "Medium Risk", "Low Risk"))</f>
        <v>Low Risk</v>
      </c>
    </row>
    <row r="264" spans="1:19" x14ac:dyDescent="0.25">
      <c r="A264" t="s">
        <v>307</v>
      </c>
      <c r="B264" t="s">
        <v>41</v>
      </c>
      <c r="C264" t="s">
        <v>34</v>
      </c>
      <c r="D264">
        <v>642323</v>
      </c>
      <c r="E264">
        <v>6</v>
      </c>
      <c r="F264">
        <v>44</v>
      </c>
      <c r="G264" t="s">
        <v>56</v>
      </c>
      <c r="H264">
        <v>5</v>
      </c>
      <c r="I264" t="s">
        <v>35</v>
      </c>
      <c r="J264" t="str">
        <f>IF(E264&gt;30,"High",IF(E264&gt;10,"Medium","Low"))</f>
        <v>Low</v>
      </c>
      <c r="K264" t="str">
        <f>IF(F264&gt;90,"High",IF(F264&gt;75,"Medium","Low"))</f>
        <v>Low</v>
      </c>
      <c r="L264" t="str">
        <f>IF(G264="Declining","High","Low")</f>
        <v>Low</v>
      </c>
      <c r="M264" t="str">
        <f>IF(H264&gt;=3,"High",IF(H264=1,"Medium","Low"))</f>
        <v>High</v>
      </c>
      <c r="N264">
        <f>IF(J264="high",2,IF(J264="Medium",1,0))</f>
        <v>0</v>
      </c>
      <c r="O264">
        <f>IF(K264="high",2,IF(K264="medium",1,0))</f>
        <v>0</v>
      </c>
      <c r="P264">
        <f>IF(L264="high",2,0)</f>
        <v>0</v>
      </c>
      <c r="Q264">
        <f>IF(M264="high",2,IF(M264="medium",1,0))</f>
        <v>2</v>
      </c>
      <c r="R264">
        <f>SUM(N264:Q264)</f>
        <v>2</v>
      </c>
      <c r="S264" t="str">
        <f>IF(R264&gt;=5,"High Risk",IF(R264&gt;=3, "Medium Risk", "Low Risk"))</f>
        <v>Low Risk</v>
      </c>
    </row>
    <row r="265" spans="1:19" x14ac:dyDescent="0.25">
      <c r="A265" t="s">
        <v>308</v>
      </c>
      <c r="B265" t="s">
        <v>38</v>
      </c>
      <c r="C265" t="s">
        <v>42</v>
      </c>
      <c r="D265">
        <v>196641</v>
      </c>
      <c r="E265">
        <v>4</v>
      </c>
      <c r="F265">
        <v>60</v>
      </c>
      <c r="G265" t="s">
        <v>56</v>
      </c>
      <c r="H265">
        <v>4</v>
      </c>
      <c r="I265" t="s">
        <v>24</v>
      </c>
      <c r="J265" t="str">
        <f>IF(E265&gt;30,"High",IF(E265&gt;10,"Medium","Low"))</f>
        <v>Low</v>
      </c>
      <c r="K265" t="str">
        <f>IF(F265&gt;90,"High",IF(F265&gt;75,"Medium","Low"))</f>
        <v>Low</v>
      </c>
      <c r="L265" t="str">
        <f>IF(G265="Declining","High","Low")</f>
        <v>Low</v>
      </c>
      <c r="M265" t="str">
        <f>IF(H265&gt;=3,"High",IF(H265=1,"Medium","Low"))</f>
        <v>High</v>
      </c>
      <c r="N265">
        <f>IF(J265="high",2,IF(J265="Medium",1,0))</f>
        <v>0</v>
      </c>
      <c r="O265">
        <f>IF(K265="high",2,IF(K265="medium",1,0))</f>
        <v>0</v>
      </c>
      <c r="P265">
        <f>IF(L265="high",2,0)</f>
        <v>0</v>
      </c>
      <c r="Q265">
        <f>IF(M265="high",2,IF(M265="medium",1,0))</f>
        <v>2</v>
      </c>
      <c r="R265">
        <f>SUM(N265:Q265)</f>
        <v>2</v>
      </c>
      <c r="S265" t="str">
        <f>IF(R265&gt;=5,"High Risk",IF(R265&gt;=3, "Medium Risk", "Low Risk"))</f>
        <v>Low Risk</v>
      </c>
    </row>
    <row r="266" spans="1:19" x14ac:dyDescent="0.25">
      <c r="A266" t="s">
        <v>309</v>
      </c>
      <c r="B266" t="s">
        <v>20</v>
      </c>
      <c r="C266" t="s">
        <v>42</v>
      </c>
      <c r="D266">
        <v>406038</v>
      </c>
      <c r="E266">
        <v>49</v>
      </c>
      <c r="F266">
        <v>56</v>
      </c>
      <c r="G266" t="s">
        <v>68</v>
      </c>
      <c r="H266">
        <v>0</v>
      </c>
      <c r="I266" t="s">
        <v>35</v>
      </c>
      <c r="J266" t="str">
        <f>IF(E266&gt;30,"High",IF(E266&gt;10,"Medium","Low"))</f>
        <v>High</v>
      </c>
      <c r="K266" t="str">
        <f>IF(F266&gt;90,"High",IF(F266&gt;75,"Medium","Low"))</f>
        <v>Low</v>
      </c>
      <c r="L266" t="str">
        <f>IF(G266="Declining","High","Low")</f>
        <v>Low</v>
      </c>
      <c r="M266" t="str">
        <f>IF(H266&gt;=3,"High",IF(H266=1,"Medium","Low"))</f>
        <v>Low</v>
      </c>
      <c r="N266">
        <f>IF(J266="high",2,IF(J266="Medium",1,0))</f>
        <v>2</v>
      </c>
      <c r="O266">
        <f>IF(K266="high",2,IF(K266="medium",1,0))</f>
        <v>0</v>
      </c>
      <c r="P266">
        <f>IF(L266="high",2,0)</f>
        <v>0</v>
      </c>
      <c r="Q266">
        <f>IF(M266="high",2,IF(M266="medium",1,0))</f>
        <v>0</v>
      </c>
      <c r="R266">
        <f>SUM(N266:Q266)</f>
        <v>2</v>
      </c>
      <c r="S266" t="str">
        <f>IF(R266&gt;=5,"High Risk",IF(R266&gt;=3, "Medium Risk", "Low Risk"))</f>
        <v>Low Risk</v>
      </c>
    </row>
    <row r="267" spans="1:19" x14ac:dyDescent="0.25">
      <c r="A267" t="s">
        <v>310</v>
      </c>
      <c r="B267" t="s">
        <v>20</v>
      </c>
      <c r="C267" t="s">
        <v>42</v>
      </c>
      <c r="D267">
        <v>374834</v>
      </c>
      <c r="E267">
        <v>8</v>
      </c>
      <c r="F267">
        <v>74</v>
      </c>
      <c r="G267" t="s">
        <v>68</v>
      </c>
      <c r="H267">
        <v>4</v>
      </c>
      <c r="I267" t="s">
        <v>23</v>
      </c>
      <c r="J267" t="str">
        <f>IF(E267&gt;30,"High",IF(E267&gt;10,"Medium","Low"))</f>
        <v>Low</v>
      </c>
      <c r="K267" t="str">
        <f>IF(F267&gt;90,"High",IF(F267&gt;75,"Medium","Low"))</f>
        <v>Low</v>
      </c>
      <c r="L267" t="str">
        <f>IF(G267="Declining","High","Low")</f>
        <v>Low</v>
      </c>
      <c r="M267" t="str">
        <f>IF(H267&gt;=3,"High",IF(H267=1,"Medium","Low"))</f>
        <v>High</v>
      </c>
      <c r="N267">
        <f>IF(J267="high",2,IF(J267="Medium",1,0))</f>
        <v>0</v>
      </c>
      <c r="O267">
        <f>IF(K267="high",2,IF(K267="medium",1,0))</f>
        <v>0</v>
      </c>
      <c r="P267">
        <f>IF(L267="high",2,0)</f>
        <v>0</v>
      </c>
      <c r="Q267">
        <f>IF(M267="high",2,IF(M267="medium",1,0))</f>
        <v>2</v>
      </c>
      <c r="R267">
        <f>SUM(N267:Q267)</f>
        <v>2</v>
      </c>
      <c r="S267" t="str">
        <f>IF(R267&gt;=5,"High Risk",IF(R267&gt;=3, "Medium Risk", "Low Risk"))</f>
        <v>Low Risk</v>
      </c>
    </row>
    <row r="268" spans="1:19" x14ac:dyDescent="0.25">
      <c r="A268" t="s">
        <v>311</v>
      </c>
      <c r="B268" t="s">
        <v>20</v>
      </c>
      <c r="C268" t="s">
        <v>42</v>
      </c>
      <c r="D268">
        <v>472011</v>
      </c>
      <c r="E268">
        <v>0</v>
      </c>
      <c r="F268">
        <v>67</v>
      </c>
      <c r="G268" t="s">
        <v>56</v>
      </c>
      <c r="H268">
        <v>5</v>
      </c>
      <c r="I268" t="s">
        <v>24</v>
      </c>
      <c r="J268" t="str">
        <f>IF(E268&gt;30,"High",IF(E268&gt;10,"Medium","Low"))</f>
        <v>Low</v>
      </c>
      <c r="K268" t="str">
        <f>IF(F268&gt;90,"High",IF(F268&gt;75,"Medium","Low"))</f>
        <v>Low</v>
      </c>
      <c r="L268" t="str">
        <f>IF(G268="Declining","High","Low")</f>
        <v>Low</v>
      </c>
      <c r="M268" t="str">
        <f>IF(H268&gt;=3,"High",IF(H268=1,"Medium","Low"))</f>
        <v>High</v>
      </c>
      <c r="N268">
        <f>IF(J268="high",2,IF(J268="Medium",1,0))</f>
        <v>0</v>
      </c>
      <c r="O268">
        <f>IF(K268="high",2,IF(K268="medium",1,0))</f>
        <v>0</v>
      </c>
      <c r="P268">
        <f>IF(L268="high",2,0)</f>
        <v>0</v>
      </c>
      <c r="Q268">
        <f>IF(M268="high",2,IF(M268="medium",1,0))</f>
        <v>2</v>
      </c>
      <c r="R268">
        <f>SUM(N268:Q268)</f>
        <v>2</v>
      </c>
      <c r="S268" t="str">
        <f>IF(R268&gt;=5,"High Risk",IF(R268&gt;=3, "Medium Risk", "Low Risk"))</f>
        <v>Low Risk</v>
      </c>
    </row>
    <row r="269" spans="1:19" x14ac:dyDescent="0.25">
      <c r="A269" t="s">
        <v>312</v>
      </c>
      <c r="B269" t="s">
        <v>31</v>
      </c>
      <c r="C269" t="s">
        <v>28</v>
      </c>
      <c r="D269">
        <v>1070215</v>
      </c>
      <c r="E269">
        <v>13</v>
      </c>
      <c r="F269">
        <v>49</v>
      </c>
      <c r="G269" t="s">
        <v>56</v>
      </c>
      <c r="H269">
        <v>1</v>
      </c>
      <c r="I269" t="s">
        <v>24</v>
      </c>
      <c r="J269" t="str">
        <f>IF(E269&gt;30,"High",IF(E269&gt;10,"Medium","Low"))</f>
        <v>Medium</v>
      </c>
      <c r="K269" t="str">
        <f>IF(F269&gt;90,"High",IF(F269&gt;75,"Medium","Low"))</f>
        <v>Low</v>
      </c>
      <c r="L269" t="str">
        <f>IF(G269="Declining","High","Low")</f>
        <v>Low</v>
      </c>
      <c r="M269" t="str">
        <f>IF(H269&gt;=3,"High",IF(H269=1,"Medium","Low"))</f>
        <v>Medium</v>
      </c>
      <c r="N269">
        <f>IF(J269="high",2,IF(J269="Medium",1,0))</f>
        <v>1</v>
      </c>
      <c r="O269">
        <f>IF(K269="high",2,IF(K269="medium",1,0))</f>
        <v>0</v>
      </c>
      <c r="P269">
        <f>IF(L269="high",2,0)</f>
        <v>0</v>
      </c>
      <c r="Q269">
        <f>IF(M269="high",2,IF(M269="medium",1,0))</f>
        <v>1</v>
      </c>
      <c r="R269">
        <f>SUM(N269:Q269)</f>
        <v>2</v>
      </c>
      <c r="S269" t="str">
        <f>IF(R269&gt;=5,"High Risk",IF(R269&gt;=3, "Medium Risk", "Low Risk"))</f>
        <v>Low Risk</v>
      </c>
    </row>
    <row r="270" spans="1:19" x14ac:dyDescent="0.25">
      <c r="A270" t="s">
        <v>313</v>
      </c>
      <c r="B270" t="s">
        <v>41</v>
      </c>
      <c r="C270" t="s">
        <v>21</v>
      </c>
      <c r="D270">
        <v>434371</v>
      </c>
      <c r="E270">
        <v>1</v>
      </c>
      <c r="F270">
        <v>41</v>
      </c>
      <c r="G270" t="s">
        <v>68</v>
      </c>
      <c r="H270">
        <v>4</v>
      </c>
      <c r="I270" t="s">
        <v>24</v>
      </c>
      <c r="J270" t="str">
        <f>IF(E270&gt;30,"High",IF(E270&gt;10,"Medium","Low"))</f>
        <v>Low</v>
      </c>
      <c r="K270" t="str">
        <f>IF(F270&gt;90,"High",IF(F270&gt;75,"Medium","Low"))</f>
        <v>Low</v>
      </c>
      <c r="L270" t="str">
        <f>IF(G270="Declining","High","Low")</f>
        <v>Low</v>
      </c>
      <c r="M270" t="str">
        <f>IF(H270&gt;=3,"High",IF(H270=1,"Medium","Low"))</f>
        <v>High</v>
      </c>
      <c r="N270">
        <f>IF(J270="high",2,IF(J270="Medium",1,0))</f>
        <v>0</v>
      </c>
      <c r="O270">
        <f>IF(K270="high",2,IF(K270="medium",1,0))</f>
        <v>0</v>
      </c>
      <c r="P270">
        <f>IF(L270="high",2,0)</f>
        <v>0</v>
      </c>
      <c r="Q270">
        <f>IF(M270="high",2,IF(M270="medium",1,0))</f>
        <v>2</v>
      </c>
      <c r="R270">
        <f>SUM(N270:Q270)</f>
        <v>2</v>
      </c>
      <c r="S270" t="str">
        <f>IF(R270&gt;=5,"High Risk",IF(R270&gt;=3, "Medium Risk", "Low Risk"))</f>
        <v>Low Risk</v>
      </c>
    </row>
    <row r="271" spans="1:19" x14ac:dyDescent="0.25">
      <c r="A271" t="s">
        <v>314</v>
      </c>
      <c r="B271" t="s">
        <v>38</v>
      </c>
      <c r="C271" t="s">
        <v>28</v>
      </c>
      <c r="D271">
        <v>652001</v>
      </c>
      <c r="E271">
        <v>5</v>
      </c>
      <c r="F271">
        <v>72</v>
      </c>
      <c r="G271" t="s">
        <v>56</v>
      </c>
      <c r="H271">
        <v>5</v>
      </c>
      <c r="I271" t="s">
        <v>23</v>
      </c>
      <c r="J271" t="str">
        <f>IF(E271&gt;30,"High",IF(E271&gt;10,"Medium","Low"))</f>
        <v>Low</v>
      </c>
      <c r="K271" t="str">
        <f>IF(F271&gt;90,"High",IF(F271&gt;75,"Medium","Low"))</f>
        <v>Low</v>
      </c>
      <c r="L271" t="str">
        <f>IF(G271="Declining","High","Low")</f>
        <v>Low</v>
      </c>
      <c r="M271" t="str">
        <f>IF(H271&gt;=3,"High",IF(H271=1,"Medium","Low"))</f>
        <v>High</v>
      </c>
      <c r="N271">
        <f>IF(J271="high",2,IF(J271="Medium",1,0))</f>
        <v>0</v>
      </c>
      <c r="O271">
        <f>IF(K271="high",2,IF(K271="medium",1,0))</f>
        <v>0</v>
      </c>
      <c r="P271">
        <f>IF(L271="high",2,0)</f>
        <v>0</v>
      </c>
      <c r="Q271">
        <f>IF(M271="high",2,IF(M271="medium",1,0))</f>
        <v>2</v>
      </c>
      <c r="R271">
        <f>SUM(N271:Q271)</f>
        <v>2</v>
      </c>
      <c r="S271" t="str">
        <f>IF(R271&gt;=5,"High Risk",IF(R271&gt;=3, "Medium Risk", "Low Risk"))</f>
        <v>Low Risk</v>
      </c>
    </row>
    <row r="272" spans="1:19" x14ac:dyDescent="0.25">
      <c r="A272" t="s">
        <v>315</v>
      </c>
      <c r="B272" t="s">
        <v>48</v>
      </c>
      <c r="C272" t="s">
        <v>28</v>
      </c>
      <c r="D272">
        <v>320517</v>
      </c>
      <c r="E272">
        <v>44</v>
      </c>
      <c r="F272">
        <v>58</v>
      </c>
      <c r="G272" t="s">
        <v>68</v>
      </c>
      <c r="H272">
        <v>0</v>
      </c>
      <c r="I272" t="s">
        <v>35</v>
      </c>
      <c r="J272" t="str">
        <f>IF(E272&gt;30,"High",IF(E272&gt;10,"Medium","Low"))</f>
        <v>High</v>
      </c>
      <c r="K272" t="str">
        <f>IF(F272&gt;90,"High",IF(F272&gt;75,"Medium","Low"))</f>
        <v>Low</v>
      </c>
      <c r="L272" t="str">
        <f>IF(G272="Declining","High","Low")</f>
        <v>Low</v>
      </c>
      <c r="M272" t="str">
        <f>IF(H272&gt;=3,"High",IF(H272=1,"Medium","Low"))</f>
        <v>Low</v>
      </c>
      <c r="N272">
        <f>IF(J272="high",2,IF(J272="Medium",1,0))</f>
        <v>2</v>
      </c>
      <c r="O272">
        <f>IF(K272="high",2,IF(K272="medium",1,0))</f>
        <v>0</v>
      </c>
      <c r="P272">
        <f>IF(L272="high",2,0)</f>
        <v>0</v>
      </c>
      <c r="Q272">
        <f>IF(M272="high",2,IF(M272="medium",1,0))</f>
        <v>0</v>
      </c>
      <c r="R272">
        <f>SUM(N272:Q272)</f>
        <v>2</v>
      </c>
      <c r="S272" t="str">
        <f>IF(R272&gt;=5,"High Risk",IF(R272&gt;=3, "Medium Risk", "Low Risk"))</f>
        <v>Low Risk</v>
      </c>
    </row>
    <row r="273" spans="1:19" x14ac:dyDescent="0.25">
      <c r="A273" t="s">
        <v>316</v>
      </c>
      <c r="B273" t="s">
        <v>48</v>
      </c>
      <c r="C273" t="s">
        <v>28</v>
      </c>
      <c r="D273">
        <v>1436583</v>
      </c>
      <c r="E273">
        <v>8</v>
      </c>
      <c r="F273">
        <v>92</v>
      </c>
      <c r="G273" t="s">
        <v>56</v>
      </c>
      <c r="H273">
        <v>2</v>
      </c>
      <c r="I273" t="s">
        <v>23</v>
      </c>
      <c r="J273" t="str">
        <f>IF(E273&gt;30,"High",IF(E273&gt;10,"Medium","Low"))</f>
        <v>Low</v>
      </c>
      <c r="K273" t="str">
        <f>IF(F273&gt;90,"High",IF(F273&gt;75,"Medium","Low"))</f>
        <v>High</v>
      </c>
      <c r="L273" t="str">
        <f>IF(G273="Declining","High","Low")</f>
        <v>Low</v>
      </c>
      <c r="M273" t="str">
        <f>IF(H273&gt;=3,"High",IF(H273=1,"Medium","Low"))</f>
        <v>Low</v>
      </c>
      <c r="N273">
        <f>IF(J273="high",2,IF(J273="Medium",1,0))</f>
        <v>0</v>
      </c>
      <c r="O273">
        <f>IF(K273="high",2,IF(K273="medium",1,0))</f>
        <v>2</v>
      </c>
      <c r="P273">
        <f>IF(L273="high",2,0)</f>
        <v>0</v>
      </c>
      <c r="Q273">
        <f>IF(M273="high",2,IF(M273="medium",1,0))</f>
        <v>0</v>
      </c>
      <c r="R273">
        <f>SUM(N273:Q273)</f>
        <v>2</v>
      </c>
      <c r="S273" t="str">
        <f>IF(R273&gt;=5,"High Risk",IF(R273&gt;=3, "Medium Risk", "Low Risk"))</f>
        <v>Low Risk</v>
      </c>
    </row>
    <row r="274" spans="1:19" x14ac:dyDescent="0.25">
      <c r="A274" t="s">
        <v>317</v>
      </c>
      <c r="B274" t="s">
        <v>38</v>
      </c>
      <c r="C274" t="s">
        <v>54</v>
      </c>
      <c r="D274">
        <v>1359467</v>
      </c>
      <c r="E274">
        <v>27</v>
      </c>
      <c r="F274">
        <v>72</v>
      </c>
      <c r="G274" t="s">
        <v>56</v>
      </c>
      <c r="H274">
        <v>1</v>
      </c>
      <c r="I274" t="s">
        <v>24</v>
      </c>
      <c r="J274" t="str">
        <f>IF(E274&gt;30,"High",IF(E274&gt;10,"Medium","Low"))</f>
        <v>Medium</v>
      </c>
      <c r="K274" t="str">
        <f>IF(F274&gt;90,"High",IF(F274&gt;75,"Medium","Low"))</f>
        <v>Low</v>
      </c>
      <c r="L274" t="str">
        <f>IF(G274="Declining","High","Low")</f>
        <v>Low</v>
      </c>
      <c r="M274" t="str">
        <f>IF(H274&gt;=3,"High",IF(H274=1,"Medium","Low"))</f>
        <v>Medium</v>
      </c>
      <c r="N274">
        <f>IF(J274="high",2,IF(J274="Medium",1,0))</f>
        <v>1</v>
      </c>
      <c r="O274">
        <f>IF(K274="high",2,IF(K274="medium",1,0))</f>
        <v>0</v>
      </c>
      <c r="P274">
        <f>IF(L274="high",2,0)</f>
        <v>0</v>
      </c>
      <c r="Q274">
        <f>IF(M274="high",2,IF(M274="medium",1,0))</f>
        <v>1</v>
      </c>
      <c r="R274">
        <f>SUM(N274:Q274)</f>
        <v>2</v>
      </c>
      <c r="S274" t="str">
        <f>IF(R274&gt;=5,"High Risk",IF(R274&gt;=3, "Medium Risk", "Low Risk"))</f>
        <v>Low Risk</v>
      </c>
    </row>
    <row r="275" spans="1:19" x14ac:dyDescent="0.25">
      <c r="A275" t="s">
        <v>318</v>
      </c>
      <c r="B275" t="s">
        <v>48</v>
      </c>
      <c r="C275" t="s">
        <v>28</v>
      </c>
      <c r="D275">
        <v>1160154</v>
      </c>
      <c r="E275">
        <v>0</v>
      </c>
      <c r="F275">
        <v>41</v>
      </c>
      <c r="G275" t="s">
        <v>56</v>
      </c>
      <c r="H275">
        <v>3</v>
      </c>
      <c r="I275" t="s">
        <v>35</v>
      </c>
      <c r="J275" t="str">
        <f>IF(E275&gt;30,"High",IF(E275&gt;10,"Medium","Low"))</f>
        <v>Low</v>
      </c>
      <c r="K275" t="str">
        <f>IF(F275&gt;90,"High",IF(F275&gt;75,"Medium","Low"))</f>
        <v>Low</v>
      </c>
      <c r="L275" t="str">
        <f>IF(G275="Declining","High","Low")</f>
        <v>Low</v>
      </c>
      <c r="M275" t="str">
        <f>IF(H275&gt;=3,"High",IF(H275=1,"Medium","Low"))</f>
        <v>High</v>
      </c>
      <c r="N275">
        <f>IF(J275="high",2,IF(J275="Medium",1,0))</f>
        <v>0</v>
      </c>
      <c r="O275">
        <f>IF(K275="high",2,IF(K275="medium",1,0))</f>
        <v>0</v>
      </c>
      <c r="P275">
        <f>IF(L275="high",2,0)</f>
        <v>0</v>
      </c>
      <c r="Q275">
        <f>IF(M275="high",2,IF(M275="medium",1,0))</f>
        <v>2</v>
      </c>
      <c r="R275">
        <f>SUM(N275:Q275)</f>
        <v>2</v>
      </c>
      <c r="S275" t="str">
        <f>IF(R275&gt;=5,"High Risk",IF(R275&gt;=3, "Medium Risk", "Low Risk"))</f>
        <v>Low Risk</v>
      </c>
    </row>
    <row r="276" spans="1:19" x14ac:dyDescent="0.25">
      <c r="A276" t="s">
        <v>319</v>
      </c>
      <c r="B276" t="s">
        <v>31</v>
      </c>
      <c r="C276" t="s">
        <v>54</v>
      </c>
      <c r="D276">
        <v>360152</v>
      </c>
      <c r="E276">
        <v>29</v>
      </c>
      <c r="F276">
        <v>84</v>
      </c>
      <c r="G276" t="s">
        <v>56</v>
      </c>
      <c r="H276">
        <v>0</v>
      </c>
      <c r="I276" t="s">
        <v>24</v>
      </c>
      <c r="J276" t="str">
        <f>IF(E276&gt;30,"High",IF(E276&gt;10,"Medium","Low"))</f>
        <v>Medium</v>
      </c>
      <c r="K276" t="str">
        <f>IF(F276&gt;90,"High",IF(F276&gt;75,"Medium","Low"))</f>
        <v>Medium</v>
      </c>
      <c r="L276" t="str">
        <f>IF(G276="Declining","High","Low")</f>
        <v>Low</v>
      </c>
      <c r="M276" t="str">
        <f>IF(H276&gt;=3,"High",IF(H276=1,"Medium","Low"))</f>
        <v>Low</v>
      </c>
      <c r="N276">
        <f>IF(J276="high",2,IF(J276="Medium",1,0))</f>
        <v>1</v>
      </c>
      <c r="O276">
        <f>IF(K276="high",2,IF(K276="medium",1,0))</f>
        <v>1</v>
      </c>
      <c r="P276">
        <f>IF(L276="high",2,0)</f>
        <v>0</v>
      </c>
      <c r="Q276">
        <f>IF(M276="high",2,IF(M276="medium",1,0))</f>
        <v>0</v>
      </c>
      <c r="R276">
        <f>SUM(N276:Q276)</f>
        <v>2</v>
      </c>
      <c r="S276" t="str">
        <f>IF(R276&gt;=5,"High Risk",IF(R276&gt;=3, "Medium Risk", "Low Risk"))</f>
        <v>Low Risk</v>
      </c>
    </row>
    <row r="277" spans="1:19" x14ac:dyDescent="0.25">
      <c r="A277" t="s">
        <v>320</v>
      </c>
      <c r="B277" t="s">
        <v>20</v>
      </c>
      <c r="C277" t="s">
        <v>21</v>
      </c>
      <c r="D277">
        <v>1181825</v>
      </c>
      <c r="E277">
        <v>6</v>
      </c>
      <c r="F277">
        <v>57</v>
      </c>
      <c r="G277" t="s">
        <v>68</v>
      </c>
      <c r="H277">
        <v>1</v>
      </c>
      <c r="I277" t="s">
        <v>35</v>
      </c>
      <c r="J277" t="str">
        <f>IF(E277&gt;30,"High",IF(E277&gt;10,"Medium","Low"))</f>
        <v>Low</v>
      </c>
      <c r="K277" t="str">
        <f>IF(F277&gt;90,"High",IF(F277&gt;75,"Medium","Low"))</f>
        <v>Low</v>
      </c>
      <c r="L277" t="str">
        <f>IF(G277="Declining","High","Low")</f>
        <v>Low</v>
      </c>
      <c r="M277" t="str">
        <f>IF(H277&gt;=3,"High",IF(H277=1,"Medium","Low"))</f>
        <v>Medium</v>
      </c>
      <c r="N277">
        <f>IF(J277="high",2,IF(J277="Medium",1,0))</f>
        <v>0</v>
      </c>
      <c r="O277">
        <f>IF(K277="high",2,IF(K277="medium",1,0))</f>
        <v>0</v>
      </c>
      <c r="P277">
        <f>IF(L277="high",2,0)</f>
        <v>0</v>
      </c>
      <c r="Q277">
        <f>IF(M277="high",2,IF(M277="medium",1,0))</f>
        <v>1</v>
      </c>
      <c r="R277">
        <f>SUM(N277:Q277)</f>
        <v>1</v>
      </c>
      <c r="S277" t="str">
        <f>IF(R277&gt;=5,"High Risk",IF(R277&gt;=3, "Medium Risk", "Low Risk"))</f>
        <v>Low Risk</v>
      </c>
    </row>
    <row r="278" spans="1:19" x14ac:dyDescent="0.25">
      <c r="A278" t="s">
        <v>321</v>
      </c>
      <c r="B278" t="s">
        <v>41</v>
      </c>
      <c r="C278" t="s">
        <v>28</v>
      </c>
      <c r="D278">
        <v>1013589</v>
      </c>
      <c r="E278">
        <v>3</v>
      </c>
      <c r="F278">
        <v>43</v>
      </c>
      <c r="G278" t="s">
        <v>68</v>
      </c>
      <c r="H278">
        <v>1</v>
      </c>
      <c r="I278" t="s">
        <v>24</v>
      </c>
      <c r="J278" t="str">
        <f>IF(E278&gt;30,"High",IF(E278&gt;10,"Medium","Low"))</f>
        <v>Low</v>
      </c>
      <c r="K278" t="str">
        <f>IF(F278&gt;90,"High",IF(F278&gt;75,"Medium","Low"))</f>
        <v>Low</v>
      </c>
      <c r="L278" t="str">
        <f>IF(G278="Declining","High","Low")</f>
        <v>Low</v>
      </c>
      <c r="M278" t="str">
        <f>IF(H278&gt;=3,"High",IF(H278=1,"Medium","Low"))</f>
        <v>Medium</v>
      </c>
      <c r="N278">
        <f>IF(J278="high",2,IF(J278="Medium",1,0))</f>
        <v>0</v>
      </c>
      <c r="O278">
        <f>IF(K278="high",2,IF(K278="medium",1,0))</f>
        <v>0</v>
      </c>
      <c r="P278">
        <f>IF(L278="high",2,0)</f>
        <v>0</v>
      </c>
      <c r="Q278">
        <f>IF(M278="high",2,IF(M278="medium",1,0))</f>
        <v>1</v>
      </c>
      <c r="R278">
        <f>SUM(N278:Q278)</f>
        <v>1</v>
      </c>
      <c r="S278" t="str">
        <f>IF(R278&gt;=5,"High Risk",IF(R278&gt;=3, "Medium Risk", "Low Risk"))</f>
        <v>Low Risk</v>
      </c>
    </row>
    <row r="279" spans="1:19" x14ac:dyDescent="0.25">
      <c r="A279" t="s">
        <v>322</v>
      </c>
      <c r="B279" t="s">
        <v>38</v>
      </c>
      <c r="C279" t="s">
        <v>21</v>
      </c>
      <c r="D279">
        <v>1014802</v>
      </c>
      <c r="E279">
        <v>26</v>
      </c>
      <c r="F279">
        <v>47</v>
      </c>
      <c r="G279" t="s">
        <v>56</v>
      </c>
      <c r="H279">
        <v>0</v>
      </c>
      <c r="I279" t="s">
        <v>23</v>
      </c>
      <c r="J279" t="str">
        <f>IF(E279&gt;30,"High",IF(E279&gt;10,"Medium","Low"))</f>
        <v>Medium</v>
      </c>
      <c r="K279" t="str">
        <f>IF(F279&gt;90,"High",IF(F279&gt;75,"Medium","Low"))</f>
        <v>Low</v>
      </c>
      <c r="L279" t="str">
        <f>IF(G279="Declining","High","Low")</f>
        <v>Low</v>
      </c>
      <c r="M279" t="str">
        <f>IF(H279&gt;=3,"High",IF(H279=1,"Medium","Low"))</f>
        <v>Low</v>
      </c>
      <c r="N279">
        <f>IF(J279="high",2,IF(J279="Medium",1,0))</f>
        <v>1</v>
      </c>
      <c r="O279">
        <f>IF(K279="high",2,IF(K279="medium",1,0))</f>
        <v>0</v>
      </c>
      <c r="P279">
        <f>IF(L279="high",2,0)</f>
        <v>0</v>
      </c>
      <c r="Q279">
        <f>IF(M279="high",2,IF(M279="medium",1,0))</f>
        <v>0</v>
      </c>
      <c r="R279">
        <f>SUM(N279:Q279)</f>
        <v>1</v>
      </c>
      <c r="S279" t="str">
        <f>IF(R279&gt;=5,"High Risk",IF(R279&gt;=3, "Medium Risk", "Low Risk"))</f>
        <v>Low Risk</v>
      </c>
    </row>
    <row r="280" spans="1:19" x14ac:dyDescent="0.25">
      <c r="A280" t="s">
        <v>323</v>
      </c>
      <c r="B280" t="s">
        <v>20</v>
      </c>
      <c r="C280" t="s">
        <v>42</v>
      </c>
      <c r="D280">
        <v>1021313</v>
      </c>
      <c r="E280">
        <v>5</v>
      </c>
      <c r="F280">
        <v>54</v>
      </c>
      <c r="G280" t="s">
        <v>56</v>
      </c>
      <c r="H280">
        <v>1</v>
      </c>
      <c r="I280" t="s">
        <v>35</v>
      </c>
      <c r="J280" t="str">
        <f>IF(E280&gt;30,"High",IF(E280&gt;10,"Medium","Low"))</f>
        <v>Low</v>
      </c>
      <c r="K280" t="str">
        <f>IF(F280&gt;90,"High",IF(F280&gt;75,"Medium","Low"))</f>
        <v>Low</v>
      </c>
      <c r="L280" t="str">
        <f>IF(G280="Declining","High","Low")</f>
        <v>Low</v>
      </c>
      <c r="M280" t="str">
        <f>IF(H280&gt;=3,"High",IF(H280=1,"Medium","Low"))</f>
        <v>Medium</v>
      </c>
      <c r="N280">
        <f>IF(J280="high",2,IF(J280="Medium",1,0))</f>
        <v>0</v>
      </c>
      <c r="O280">
        <f>IF(K280="high",2,IF(K280="medium",1,0))</f>
        <v>0</v>
      </c>
      <c r="P280">
        <f>IF(L280="high",2,0)</f>
        <v>0</v>
      </c>
      <c r="Q280">
        <f>IF(M280="high",2,IF(M280="medium",1,0))</f>
        <v>1</v>
      </c>
      <c r="R280">
        <f>SUM(N280:Q280)</f>
        <v>1</v>
      </c>
      <c r="S280" t="str">
        <f>IF(R280&gt;=5,"High Risk",IF(R280&gt;=3, "Medium Risk", "Low Risk"))</f>
        <v>Low Risk</v>
      </c>
    </row>
    <row r="281" spans="1:19" x14ac:dyDescent="0.25">
      <c r="A281" t="s">
        <v>324</v>
      </c>
      <c r="B281" t="s">
        <v>20</v>
      </c>
      <c r="C281" t="s">
        <v>28</v>
      </c>
      <c r="D281">
        <v>449339</v>
      </c>
      <c r="E281">
        <v>25</v>
      </c>
      <c r="F281">
        <v>74</v>
      </c>
      <c r="G281" t="s">
        <v>56</v>
      </c>
      <c r="H281">
        <v>0</v>
      </c>
      <c r="I281" t="s">
        <v>24</v>
      </c>
      <c r="J281" t="str">
        <f>IF(E281&gt;30,"High",IF(E281&gt;10,"Medium","Low"))</f>
        <v>Medium</v>
      </c>
      <c r="K281" t="str">
        <f>IF(F281&gt;90,"High",IF(F281&gt;75,"Medium","Low"))</f>
        <v>Low</v>
      </c>
      <c r="L281" t="str">
        <f>IF(G281="Declining","High","Low")</f>
        <v>Low</v>
      </c>
      <c r="M281" t="str">
        <f>IF(H281&gt;=3,"High",IF(H281=1,"Medium","Low"))</f>
        <v>Low</v>
      </c>
      <c r="N281">
        <f>IF(J281="high",2,IF(J281="Medium",1,0))</f>
        <v>1</v>
      </c>
      <c r="O281">
        <f>IF(K281="high",2,IF(K281="medium",1,0))</f>
        <v>0</v>
      </c>
      <c r="P281">
        <f>IF(L281="high",2,0)</f>
        <v>0</v>
      </c>
      <c r="Q281">
        <f>IF(M281="high",2,IF(M281="medium",1,0))</f>
        <v>0</v>
      </c>
      <c r="R281">
        <f>SUM(N281:Q281)</f>
        <v>1</v>
      </c>
      <c r="S281" t="str">
        <f>IF(R281&gt;=5,"High Risk",IF(R281&gt;=3, "Medium Risk", "Low Risk"))</f>
        <v>Low Risk</v>
      </c>
    </row>
    <row r="282" spans="1:19" x14ac:dyDescent="0.25">
      <c r="A282" t="s">
        <v>325</v>
      </c>
      <c r="B282" t="s">
        <v>38</v>
      </c>
      <c r="C282" t="s">
        <v>42</v>
      </c>
      <c r="D282">
        <v>139550</v>
      </c>
      <c r="E282">
        <v>10</v>
      </c>
      <c r="F282">
        <v>85</v>
      </c>
      <c r="G282" t="s">
        <v>56</v>
      </c>
      <c r="H282">
        <v>2</v>
      </c>
      <c r="I282" t="s">
        <v>35</v>
      </c>
      <c r="J282" t="str">
        <f>IF(E282&gt;30,"High",IF(E282&gt;10,"Medium","Low"))</f>
        <v>Low</v>
      </c>
      <c r="K282" t="str">
        <f>IF(F282&gt;90,"High",IF(F282&gt;75,"Medium","Low"))</f>
        <v>Medium</v>
      </c>
      <c r="L282" t="str">
        <f>IF(G282="Declining","High","Low")</f>
        <v>Low</v>
      </c>
      <c r="M282" t="str">
        <f>IF(H282&gt;=3,"High",IF(H282=1,"Medium","Low"))</f>
        <v>Low</v>
      </c>
      <c r="N282">
        <f>IF(J282="high",2,IF(J282="Medium",1,0))</f>
        <v>0</v>
      </c>
      <c r="O282">
        <f>IF(K282="high",2,IF(K282="medium",1,0))</f>
        <v>1</v>
      </c>
      <c r="P282">
        <f>IF(L282="high",2,0)</f>
        <v>0</v>
      </c>
      <c r="Q282">
        <f>IF(M282="high",2,IF(M282="medium",1,0))</f>
        <v>0</v>
      </c>
      <c r="R282">
        <f>SUM(N282:Q282)</f>
        <v>1</v>
      </c>
      <c r="S282" t="str">
        <f>IF(R282&gt;=5,"High Risk",IF(R282&gt;=3, "Medium Risk", "Low Risk"))</f>
        <v>Low Risk</v>
      </c>
    </row>
    <row r="283" spans="1:19" x14ac:dyDescent="0.25">
      <c r="A283" t="s">
        <v>326</v>
      </c>
      <c r="B283" t="s">
        <v>48</v>
      </c>
      <c r="C283" t="s">
        <v>21</v>
      </c>
      <c r="D283">
        <v>1294129</v>
      </c>
      <c r="E283">
        <v>26</v>
      </c>
      <c r="F283">
        <v>45</v>
      </c>
      <c r="G283" t="s">
        <v>56</v>
      </c>
      <c r="H283">
        <v>2</v>
      </c>
      <c r="I283" t="s">
        <v>24</v>
      </c>
      <c r="J283" t="str">
        <f>IF(E283&gt;30,"High",IF(E283&gt;10,"Medium","Low"))</f>
        <v>Medium</v>
      </c>
      <c r="K283" t="str">
        <f>IF(F283&gt;90,"High",IF(F283&gt;75,"Medium","Low"))</f>
        <v>Low</v>
      </c>
      <c r="L283" t="str">
        <f>IF(G283="Declining","High","Low")</f>
        <v>Low</v>
      </c>
      <c r="M283" t="str">
        <f>IF(H283&gt;=3,"High",IF(H283=1,"Medium","Low"))</f>
        <v>Low</v>
      </c>
      <c r="N283">
        <f>IF(J283="high",2,IF(J283="Medium",1,0))</f>
        <v>1</v>
      </c>
      <c r="O283">
        <f>IF(K283="high",2,IF(K283="medium",1,0))</f>
        <v>0</v>
      </c>
      <c r="P283">
        <f>IF(L283="high",2,0)</f>
        <v>0</v>
      </c>
      <c r="Q283">
        <f>IF(M283="high",2,IF(M283="medium",1,0))</f>
        <v>0</v>
      </c>
      <c r="R283">
        <f>SUM(N283:Q283)</f>
        <v>1</v>
      </c>
      <c r="S283" t="str">
        <f>IF(R283&gt;=5,"High Risk",IF(R283&gt;=3, "Medium Risk", "Low Risk"))</f>
        <v>Low Risk</v>
      </c>
    </row>
    <row r="284" spans="1:19" x14ac:dyDescent="0.25">
      <c r="A284" t="s">
        <v>327</v>
      </c>
      <c r="B284" t="s">
        <v>20</v>
      </c>
      <c r="C284" t="s">
        <v>28</v>
      </c>
      <c r="D284">
        <v>1330956</v>
      </c>
      <c r="E284">
        <v>27</v>
      </c>
      <c r="F284">
        <v>42</v>
      </c>
      <c r="G284" t="s">
        <v>68</v>
      </c>
      <c r="H284">
        <v>0</v>
      </c>
      <c r="I284" t="s">
        <v>35</v>
      </c>
      <c r="J284" t="str">
        <f>IF(E284&gt;30,"High",IF(E284&gt;10,"Medium","Low"))</f>
        <v>Medium</v>
      </c>
      <c r="K284" t="str">
        <f>IF(F284&gt;90,"High",IF(F284&gt;75,"Medium","Low"))</f>
        <v>Low</v>
      </c>
      <c r="L284" t="str">
        <f>IF(G284="Declining","High","Low")</f>
        <v>Low</v>
      </c>
      <c r="M284" t="str">
        <f>IF(H284&gt;=3,"High",IF(H284=1,"Medium","Low"))</f>
        <v>Low</v>
      </c>
      <c r="N284">
        <f>IF(J284="high",2,IF(J284="Medium",1,0))</f>
        <v>1</v>
      </c>
      <c r="O284">
        <f>IF(K284="high",2,IF(K284="medium",1,0))</f>
        <v>0</v>
      </c>
      <c r="P284">
        <f>IF(L284="high",2,0)</f>
        <v>0</v>
      </c>
      <c r="Q284">
        <f>IF(M284="high",2,IF(M284="medium",1,0))</f>
        <v>0</v>
      </c>
      <c r="R284">
        <f>SUM(N284:Q284)</f>
        <v>1</v>
      </c>
      <c r="S284" t="str">
        <f>IF(R284&gt;=5,"High Risk",IF(R284&gt;=3, "Medium Risk", "Low Risk"))</f>
        <v>Low Risk</v>
      </c>
    </row>
    <row r="285" spans="1:19" x14ac:dyDescent="0.25">
      <c r="A285" t="s">
        <v>328</v>
      </c>
      <c r="B285" t="s">
        <v>48</v>
      </c>
      <c r="C285" t="s">
        <v>28</v>
      </c>
      <c r="D285">
        <v>840734</v>
      </c>
      <c r="E285">
        <v>1</v>
      </c>
      <c r="F285">
        <v>88</v>
      </c>
      <c r="G285" t="s">
        <v>56</v>
      </c>
      <c r="H285">
        <v>0</v>
      </c>
      <c r="I285" t="s">
        <v>35</v>
      </c>
      <c r="J285" t="str">
        <f>IF(E285&gt;30,"High",IF(E285&gt;10,"Medium","Low"))</f>
        <v>Low</v>
      </c>
      <c r="K285" t="str">
        <f>IF(F285&gt;90,"High",IF(F285&gt;75,"Medium","Low"))</f>
        <v>Medium</v>
      </c>
      <c r="L285" t="str">
        <f>IF(G285="Declining","High","Low")</f>
        <v>Low</v>
      </c>
      <c r="M285" t="str">
        <f>IF(H285&gt;=3,"High",IF(H285=1,"Medium","Low"))</f>
        <v>Low</v>
      </c>
      <c r="N285">
        <f>IF(J285="high",2,IF(J285="Medium",1,0))</f>
        <v>0</v>
      </c>
      <c r="O285">
        <f>IF(K285="high",2,IF(K285="medium",1,0))</f>
        <v>1</v>
      </c>
      <c r="P285">
        <f>IF(L285="high",2,0)</f>
        <v>0</v>
      </c>
      <c r="Q285">
        <f>IF(M285="high",2,IF(M285="medium",1,0))</f>
        <v>0</v>
      </c>
      <c r="R285">
        <f>SUM(N285:Q285)</f>
        <v>1</v>
      </c>
      <c r="S285" t="str">
        <f>IF(R285&gt;=5,"High Risk",IF(R285&gt;=3, "Medium Risk", "Low Risk"))</f>
        <v>Low Risk</v>
      </c>
    </row>
    <row r="286" spans="1:19" x14ac:dyDescent="0.25">
      <c r="A286" t="s">
        <v>329</v>
      </c>
      <c r="B286" t="s">
        <v>38</v>
      </c>
      <c r="C286" t="s">
        <v>54</v>
      </c>
      <c r="D286">
        <v>539825</v>
      </c>
      <c r="E286">
        <v>26</v>
      </c>
      <c r="F286">
        <v>52</v>
      </c>
      <c r="G286" t="s">
        <v>68</v>
      </c>
      <c r="H286">
        <v>0</v>
      </c>
      <c r="I286" t="s">
        <v>35</v>
      </c>
      <c r="J286" t="str">
        <f>IF(E286&gt;30,"High",IF(E286&gt;10,"Medium","Low"))</f>
        <v>Medium</v>
      </c>
      <c r="K286" t="str">
        <f>IF(F286&gt;90,"High",IF(F286&gt;75,"Medium","Low"))</f>
        <v>Low</v>
      </c>
      <c r="L286" t="str">
        <f>IF(G286="Declining","High","Low")</f>
        <v>Low</v>
      </c>
      <c r="M286" t="str">
        <f>IF(H286&gt;=3,"High",IF(H286=1,"Medium","Low"))</f>
        <v>Low</v>
      </c>
      <c r="N286">
        <f>IF(J286="high",2,IF(J286="Medium",1,0))</f>
        <v>1</v>
      </c>
      <c r="O286">
        <f>IF(K286="high",2,IF(K286="medium",1,0))</f>
        <v>0</v>
      </c>
      <c r="P286">
        <f>IF(L286="high",2,0)</f>
        <v>0</v>
      </c>
      <c r="Q286">
        <f>IF(M286="high",2,IF(M286="medium",1,0))</f>
        <v>0</v>
      </c>
      <c r="R286">
        <f>SUM(N286:Q286)</f>
        <v>1</v>
      </c>
      <c r="S286" t="str">
        <f>IF(R286&gt;=5,"High Risk",IF(R286&gt;=3, "Medium Risk", "Low Risk"))</f>
        <v>Low Risk</v>
      </c>
    </row>
    <row r="287" spans="1:19" x14ac:dyDescent="0.25">
      <c r="A287" t="s">
        <v>330</v>
      </c>
      <c r="B287" t="s">
        <v>31</v>
      </c>
      <c r="C287" t="s">
        <v>42</v>
      </c>
      <c r="D287">
        <v>619838</v>
      </c>
      <c r="E287">
        <v>1</v>
      </c>
      <c r="F287">
        <v>89</v>
      </c>
      <c r="G287" t="s">
        <v>68</v>
      </c>
      <c r="H287">
        <v>0</v>
      </c>
      <c r="I287" t="s">
        <v>35</v>
      </c>
      <c r="J287" t="str">
        <f>IF(E287&gt;30,"High",IF(E287&gt;10,"Medium","Low"))</f>
        <v>Low</v>
      </c>
      <c r="K287" t="str">
        <f>IF(F287&gt;90,"High",IF(F287&gt;75,"Medium","Low"))</f>
        <v>Medium</v>
      </c>
      <c r="L287" t="str">
        <f>IF(G287="Declining","High","Low")</f>
        <v>Low</v>
      </c>
      <c r="M287" t="str">
        <f>IF(H287&gt;=3,"High",IF(H287=1,"Medium","Low"))</f>
        <v>Low</v>
      </c>
      <c r="N287">
        <f>IF(J287="high",2,IF(J287="Medium",1,0))</f>
        <v>0</v>
      </c>
      <c r="O287">
        <f>IF(K287="high",2,IF(K287="medium",1,0))</f>
        <v>1</v>
      </c>
      <c r="P287">
        <f>IF(L287="high",2,0)</f>
        <v>0</v>
      </c>
      <c r="Q287">
        <f>IF(M287="high",2,IF(M287="medium",1,0))</f>
        <v>0</v>
      </c>
      <c r="R287">
        <f>SUM(N287:Q287)</f>
        <v>1</v>
      </c>
      <c r="S287" t="str">
        <f>IF(R287&gt;=5,"High Risk",IF(R287&gt;=3, "Medium Risk", "Low Risk"))</f>
        <v>Low Risk</v>
      </c>
    </row>
    <row r="288" spans="1:19" x14ac:dyDescent="0.25">
      <c r="A288" t="s">
        <v>331</v>
      </c>
      <c r="B288" t="s">
        <v>20</v>
      </c>
      <c r="C288" t="s">
        <v>54</v>
      </c>
      <c r="D288">
        <v>306386</v>
      </c>
      <c r="E288">
        <v>22</v>
      </c>
      <c r="F288">
        <v>63</v>
      </c>
      <c r="G288" t="s">
        <v>68</v>
      </c>
      <c r="H288">
        <v>2</v>
      </c>
      <c r="I288" t="s">
        <v>35</v>
      </c>
      <c r="J288" t="str">
        <f>IF(E288&gt;30,"High",IF(E288&gt;10,"Medium","Low"))</f>
        <v>Medium</v>
      </c>
      <c r="K288" t="str">
        <f>IF(F288&gt;90,"High",IF(F288&gt;75,"Medium","Low"))</f>
        <v>Low</v>
      </c>
      <c r="L288" t="str">
        <f>IF(G288="Declining","High","Low")</f>
        <v>Low</v>
      </c>
      <c r="M288" t="str">
        <f>IF(H288&gt;=3,"High",IF(H288=1,"Medium","Low"))</f>
        <v>Low</v>
      </c>
      <c r="N288">
        <f>IF(J288="high",2,IF(J288="Medium",1,0))</f>
        <v>1</v>
      </c>
      <c r="O288">
        <f>IF(K288="high",2,IF(K288="medium",1,0))</f>
        <v>0</v>
      </c>
      <c r="P288">
        <f>IF(L288="high",2,0)</f>
        <v>0</v>
      </c>
      <c r="Q288">
        <f>IF(M288="high",2,IF(M288="medium",1,0))</f>
        <v>0</v>
      </c>
      <c r="R288">
        <f>SUM(N288:Q288)</f>
        <v>1</v>
      </c>
      <c r="S288" t="str">
        <f>IF(R288&gt;=5,"High Risk",IF(R288&gt;=3, "Medium Risk", "Low Risk"))</f>
        <v>Low Risk</v>
      </c>
    </row>
    <row r="289" spans="1:19" x14ac:dyDescent="0.25">
      <c r="A289" t="s">
        <v>332</v>
      </c>
      <c r="B289" t="s">
        <v>48</v>
      </c>
      <c r="C289" t="s">
        <v>21</v>
      </c>
      <c r="D289">
        <v>1096013</v>
      </c>
      <c r="E289">
        <v>10</v>
      </c>
      <c r="F289">
        <v>63</v>
      </c>
      <c r="G289" t="s">
        <v>56</v>
      </c>
      <c r="H289">
        <v>1</v>
      </c>
      <c r="I289" t="s">
        <v>23</v>
      </c>
      <c r="J289" t="str">
        <f>IF(E289&gt;30,"High",IF(E289&gt;10,"Medium","Low"))</f>
        <v>Low</v>
      </c>
      <c r="K289" t="str">
        <f>IF(F289&gt;90,"High",IF(F289&gt;75,"Medium","Low"))</f>
        <v>Low</v>
      </c>
      <c r="L289" t="str">
        <f>IF(G289="Declining","High","Low")</f>
        <v>Low</v>
      </c>
      <c r="M289" t="str">
        <f>IF(H289&gt;=3,"High",IF(H289=1,"Medium","Low"))</f>
        <v>Medium</v>
      </c>
      <c r="N289">
        <f>IF(J289="high",2,IF(J289="Medium",1,0))</f>
        <v>0</v>
      </c>
      <c r="O289">
        <f>IF(K289="high",2,IF(K289="medium",1,0))</f>
        <v>0</v>
      </c>
      <c r="P289">
        <f>IF(L289="high",2,0)</f>
        <v>0</v>
      </c>
      <c r="Q289">
        <f>IF(M289="high",2,IF(M289="medium",1,0))</f>
        <v>1</v>
      </c>
      <c r="R289">
        <f>SUM(N289:Q289)</f>
        <v>1</v>
      </c>
      <c r="S289" t="str">
        <f>IF(R289&gt;=5,"High Risk",IF(R289&gt;=3, "Medium Risk", "Low Risk"))</f>
        <v>Low Risk</v>
      </c>
    </row>
    <row r="290" spans="1:19" x14ac:dyDescent="0.25">
      <c r="A290" t="s">
        <v>333</v>
      </c>
      <c r="B290" t="s">
        <v>41</v>
      </c>
      <c r="C290" t="s">
        <v>21</v>
      </c>
      <c r="D290">
        <v>1288918</v>
      </c>
      <c r="E290">
        <v>3</v>
      </c>
      <c r="F290">
        <v>88</v>
      </c>
      <c r="G290" t="s">
        <v>68</v>
      </c>
      <c r="H290">
        <v>2</v>
      </c>
      <c r="I290" t="s">
        <v>35</v>
      </c>
      <c r="J290" t="str">
        <f>IF(E290&gt;30,"High",IF(E290&gt;10,"Medium","Low"))</f>
        <v>Low</v>
      </c>
      <c r="K290" t="str">
        <f>IF(F290&gt;90,"High",IF(F290&gt;75,"Medium","Low"))</f>
        <v>Medium</v>
      </c>
      <c r="L290" t="str">
        <f>IF(G290="Declining","High","Low")</f>
        <v>Low</v>
      </c>
      <c r="M290" t="str">
        <f>IF(H290&gt;=3,"High",IF(H290=1,"Medium","Low"))</f>
        <v>Low</v>
      </c>
      <c r="N290">
        <f>IF(J290="high",2,IF(J290="Medium",1,0))</f>
        <v>0</v>
      </c>
      <c r="O290">
        <f>IF(K290="high",2,IF(K290="medium",1,0))</f>
        <v>1</v>
      </c>
      <c r="P290">
        <f>IF(L290="high",2,0)</f>
        <v>0</v>
      </c>
      <c r="Q290">
        <f>IF(M290="high",2,IF(M290="medium",1,0))</f>
        <v>0</v>
      </c>
      <c r="R290">
        <f>SUM(N290:Q290)</f>
        <v>1</v>
      </c>
      <c r="S290" t="str">
        <f>IF(R290&gt;=5,"High Risk",IF(R290&gt;=3, "Medium Risk", "Low Risk"))</f>
        <v>Low Risk</v>
      </c>
    </row>
    <row r="291" spans="1:19" x14ac:dyDescent="0.25">
      <c r="A291" t="s">
        <v>334</v>
      </c>
      <c r="B291" t="s">
        <v>38</v>
      </c>
      <c r="C291" t="s">
        <v>34</v>
      </c>
      <c r="D291">
        <v>1447909</v>
      </c>
      <c r="E291">
        <v>17</v>
      </c>
      <c r="F291">
        <v>51</v>
      </c>
      <c r="G291" t="s">
        <v>56</v>
      </c>
      <c r="H291">
        <v>2</v>
      </c>
      <c r="I291" t="s">
        <v>23</v>
      </c>
      <c r="J291" t="str">
        <f>IF(E291&gt;30,"High",IF(E291&gt;10,"Medium","Low"))</f>
        <v>Medium</v>
      </c>
      <c r="K291" t="str">
        <f>IF(F291&gt;90,"High",IF(F291&gt;75,"Medium","Low"))</f>
        <v>Low</v>
      </c>
      <c r="L291" t="str">
        <f>IF(G291="Declining","High","Low")</f>
        <v>Low</v>
      </c>
      <c r="M291" t="str">
        <f>IF(H291&gt;=3,"High",IF(H291=1,"Medium","Low"))</f>
        <v>Low</v>
      </c>
      <c r="N291">
        <f>IF(J291="high",2,IF(J291="Medium",1,0))</f>
        <v>1</v>
      </c>
      <c r="O291">
        <f>IF(K291="high",2,IF(K291="medium",1,0))</f>
        <v>0</v>
      </c>
      <c r="P291">
        <f>IF(L291="high",2,0)</f>
        <v>0</v>
      </c>
      <c r="Q291">
        <f>IF(M291="high",2,IF(M291="medium",1,0))</f>
        <v>0</v>
      </c>
      <c r="R291">
        <f>SUM(N291:Q291)</f>
        <v>1</v>
      </c>
      <c r="S291" t="str">
        <f>IF(R291&gt;=5,"High Risk",IF(R291&gt;=3, "Medium Risk", "Low Risk"))</f>
        <v>Low Risk</v>
      </c>
    </row>
    <row r="292" spans="1:19" x14ac:dyDescent="0.25">
      <c r="A292" t="s">
        <v>335</v>
      </c>
      <c r="B292" t="s">
        <v>38</v>
      </c>
      <c r="C292" t="s">
        <v>21</v>
      </c>
      <c r="D292">
        <v>475120</v>
      </c>
      <c r="E292">
        <v>20</v>
      </c>
      <c r="F292">
        <v>73</v>
      </c>
      <c r="G292" t="s">
        <v>68</v>
      </c>
      <c r="H292">
        <v>0</v>
      </c>
      <c r="I292" t="s">
        <v>24</v>
      </c>
      <c r="J292" t="str">
        <f>IF(E292&gt;30,"High",IF(E292&gt;10,"Medium","Low"))</f>
        <v>Medium</v>
      </c>
      <c r="K292" t="str">
        <f>IF(F292&gt;90,"High",IF(F292&gt;75,"Medium","Low"))</f>
        <v>Low</v>
      </c>
      <c r="L292" t="str">
        <f>IF(G292="Declining","High","Low")</f>
        <v>Low</v>
      </c>
      <c r="M292" t="str">
        <f>IF(H292&gt;=3,"High",IF(H292=1,"Medium","Low"))</f>
        <v>Low</v>
      </c>
      <c r="N292">
        <f>IF(J292="high",2,IF(J292="Medium",1,0))</f>
        <v>1</v>
      </c>
      <c r="O292">
        <f>IF(K292="high",2,IF(K292="medium",1,0))</f>
        <v>0</v>
      </c>
      <c r="P292">
        <f>IF(L292="high",2,0)</f>
        <v>0</v>
      </c>
      <c r="Q292">
        <f>IF(M292="high",2,IF(M292="medium",1,0))</f>
        <v>0</v>
      </c>
      <c r="R292">
        <f>SUM(N292:Q292)</f>
        <v>1</v>
      </c>
      <c r="S292" t="str">
        <f>IF(R292&gt;=5,"High Risk",IF(R292&gt;=3, "Medium Risk", "Low Risk"))</f>
        <v>Low Risk</v>
      </c>
    </row>
    <row r="293" spans="1:19" x14ac:dyDescent="0.25">
      <c r="A293" t="s">
        <v>336</v>
      </c>
      <c r="B293" t="s">
        <v>20</v>
      </c>
      <c r="C293" t="s">
        <v>21</v>
      </c>
      <c r="D293">
        <v>100125</v>
      </c>
      <c r="E293">
        <v>30</v>
      </c>
      <c r="F293">
        <v>60</v>
      </c>
      <c r="G293" t="s">
        <v>56</v>
      </c>
      <c r="H293">
        <v>2</v>
      </c>
      <c r="I293" t="s">
        <v>24</v>
      </c>
      <c r="J293" t="str">
        <f>IF(E293&gt;30,"High",IF(E293&gt;10,"Medium","Low"))</f>
        <v>Medium</v>
      </c>
      <c r="K293" t="str">
        <f>IF(F293&gt;90,"High",IF(F293&gt;75,"Medium","Low"))</f>
        <v>Low</v>
      </c>
      <c r="L293" t="str">
        <f>IF(G293="Declining","High","Low")</f>
        <v>Low</v>
      </c>
      <c r="M293" t="str">
        <f>IF(H293&gt;=3,"High",IF(H293=1,"Medium","Low"))</f>
        <v>Low</v>
      </c>
      <c r="N293">
        <f>IF(J293="high",2,IF(J293="Medium",1,0))</f>
        <v>1</v>
      </c>
      <c r="O293">
        <f>IF(K293="high",2,IF(K293="medium",1,0))</f>
        <v>0</v>
      </c>
      <c r="P293">
        <f>IF(L293="high",2,0)</f>
        <v>0</v>
      </c>
      <c r="Q293">
        <f>IF(M293="high",2,IF(M293="medium",1,0))</f>
        <v>0</v>
      </c>
      <c r="R293">
        <f>SUM(N293:Q293)</f>
        <v>1</v>
      </c>
      <c r="S293" t="str">
        <f>IF(R293&gt;=5,"High Risk",IF(R293&gt;=3, "Medium Risk", "Low Risk"))</f>
        <v>Low Risk</v>
      </c>
    </row>
    <row r="294" spans="1:19" x14ac:dyDescent="0.25">
      <c r="A294" t="s">
        <v>337</v>
      </c>
      <c r="B294" t="s">
        <v>48</v>
      </c>
      <c r="C294" t="s">
        <v>34</v>
      </c>
      <c r="D294">
        <v>875251</v>
      </c>
      <c r="E294">
        <v>17</v>
      </c>
      <c r="F294">
        <v>65</v>
      </c>
      <c r="G294" t="s">
        <v>56</v>
      </c>
      <c r="H294">
        <v>0</v>
      </c>
      <c r="I294" t="s">
        <v>35</v>
      </c>
      <c r="J294" t="str">
        <f>IF(E294&gt;30,"High",IF(E294&gt;10,"Medium","Low"))</f>
        <v>Medium</v>
      </c>
      <c r="K294" t="str">
        <f>IF(F294&gt;90,"High",IF(F294&gt;75,"Medium","Low"))</f>
        <v>Low</v>
      </c>
      <c r="L294" t="str">
        <f>IF(G294="Declining","High","Low")</f>
        <v>Low</v>
      </c>
      <c r="M294" t="str">
        <f>IF(H294&gt;=3,"High",IF(H294=1,"Medium","Low"))</f>
        <v>Low</v>
      </c>
      <c r="N294">
        <f>IF(J294="high",2,IF(J294="Medium",1,0))</f>
        <v>1</v>
      </c>
      <c r="O294">
        <f>IF(K294="high",2,IF(K294="medium",1,0))</f>
        <v>0</v>
      </c>
      <c r="P294">
        <f>IF(L294="high",2,0)</f>
        <v>0</v>
      </c>
      <c r="Q294">
        <f>IF(M294="high",2,IF(M294="medium",1,0))</f>
        <v>0</v>
      </c>
      <c r="R294">
        <f>SUM(N294:Q294)</f>
        <v>1</v>
      </c>
      <c r="S294" t="str">
        <f>IF(R294&gt;=5,"High Risk",IF(R294&gt;=3, "Medium Risk", "Low Risk"))</f>
        <v>Low Risk</v>
      </c>
    </row>
    <row r="295" spans="1:19" x14ac:dyDescent="0.25">
      <c r="A295" t="s">
        <v>338</v>
      </c>
      <c r="B295" t="s">
        <v>41</v>
      </c>
      <c r="C295" t="s">
        <v>21</v>
      </c>
      <c r="D295">
        <v>165090</v>
      </c>
      <c r="E295">
        <v>10</v>
      </c>
      <c r="F295">
        <v>48</v>
      </c>
      <c r="G295" t="s">
        <v>56</v>
      </c>
      <c r="H295">
        <v>0</v>
      </c>
      <c r="I295" t="s">
        <v>24</v>
      </c>
      <c r="J295" t="str">
        <f>IF(E295&gt;30,"High",IF(E295&gt;10,"Medium","Low"))</f>
        <v>Low</v>
      </c>
      <c r="K295" t="str">
        <f>IF(F295&gt;90,"High",IF(F295&gt;75,"Medium","Low"))</f>
        <v>Low</v>
      </c>
      <c r="L295" t="str">
        <f>IF(G295="Declining","High","Low")</f>
        <v>Low</v>
      </c>
      <c r="M295" t="str">
        <f>IF(H295&gt;=3,"High",IF(H295=1,"Medium","Low"))</f>
        <v>Low</v>
      </c>
      <c r="N295">
        <f>IF(J295="high",2,IF(J295="Medium",1,0))</f>
        <v>0</v>
      </c>
      <c r="O295">
        <f>IF(K295="high",2,IF(K295="medium",1,0))</f>
        <v>0</v>
      </c>
      <c r="P295">
        <f>IF(L295="high",2,0)</f>
        <v>0</v>
      </c>
      <c r="Q295">
        <f>IF(M295="high",2,IF(M295="medium",1,0))</f>
        <v>0</v>
      </c>
      <c r="R295">
        <f>SUM(N295:Q295)</f>
        <v>0</v>
      </c>
      <c r="S295" t="str">
        <f>IF(R295&gt;=5,"High Risk",IF(R295&gt;=3, "Medium Risk", "Low Risk"))</f>
        <v>Low Risk</v>
      </c>
    </row>
    <row r="296" spans="1:19" x14ac:dyDescent="0.25">
      <c r="A296" t="s">
        <v>339</v>
      </c>
      <c r="B296" t="s">
        <v>20</v>
      </c>
      <c r="C296" t="s">
        <v>54</v>
      </c>
      <c r="D296">
        <v>633134</v>
      </c>
      <c r="E296">
        <v>2</v>
      </c>
      <c r="F296">
        <v>73</v>
      </c>
      <c r="G296" t="s">
        <v>56</v>
      </c>
      <c r="H296">
        <v>0</v>
      </c>
      <c r="I296" t="s">
        <v>24</v>
      </c>
      <c r="J296" t="str">
        <f>IF(E296&gt;30,"High",IF(E296&gt;10,"Medium","Low"))</f>
        <v>Low</v>
      </c>
      <c r="K296" t="str">
        <f>IF(F296&gt;90,"High",IF(F296&gt;75,"Medium","Low"))</f>
        <v>Low</v>
      </c>
      <c r="L296" t="str">
        <f>IF(G296="Declining","High","Low")</f>
        <v>Low</v>
      </c>
      <c r="M296" t="str">
        <f>IF(H296&gt;=3,"High",IF(H296=1,"Medium","Low"))</f>
        <v>Low</v>
      </c>
      <c r="N296">
        <f>IF(J296="high",2,IF(J296="Medium",1,0))</f>
        <v>0</v>
      </c>
      <c r="O296">
        <f>IF(K296="high",2,IF(K296="medium",1,0))</f>
        <v>0</v>
      </c>
      <c r="P296">
        <f>IF(L296="high",2,0)</f>
        <v>0</v>
      </c>
      <c r="Q296">
        <f>IF(M296="high",2,IF(M296="medium",1,0))</f>
        <v>0</v>
      </c>
      <c r="R296">
        <f>SUM(N296:Q296)</f>
        <v>0</v>
      </c>
      <c r="S296" t="str">
        <f>IF(R296&gt;=5,"High Risk",IF(R296&gt;=3, "Medium Risk", "Low Risk"))</f>
        <v>Low Risk</v>
      </c>
    </row>
    <row r="297" spans="1:19" x14ac:dyDescent="0.25">
      <c r="A297" t="s">
        <v>340</v>
      </c>
      <c r="B297" t="s">
        <v>41</v>
      </c>
      <c r="C297" t="s">
        <v>28</v>
      </c>
      <c r="D297">
        <v>718085</v>
      </c>
      <c r="E297">
        <v>0</v>
      </c>
      <c r="F297">
        <v>48</v>
      </c>
      <c r="G297" t="s">
        <v>56</v>
      </c>
      <c r="H297">
        <v>2</v>
      </c>
      <c r="I297" t="s">
        <v>24</v>
      </c>
      <c r="J297" t="str">
        <f>IF(E297&gt;30,"High",IF(E297&gt;10,"Medium","Low"))</f>
        <v>Low</v>
      </c>
      <c r="K297" t="str">
        <f>IF(F297&gt;90,"High",IF(F297&gt;75,"Medium","Low"))</f>
        <v>Low</v>
      </c>
      <c r="L297" t="str">
        <f>IF(G297="Declining","High","Low")</f>
        <v>Low</v>
      </c>
      <c r="M297" t="str">
        <f>IF(H297&gt;=3,"High",IF(H297=1,"Medium","Low"))</f>
        <v>Low</v>
      </c>
      <c r="N297">
        <f>IF(J297="high",2,IF(J297="Medium",1,0))</f>
        <v>0</v>
      </c>
      <c r="O297">
        <f>IF(K297="high",2,IF(K297="medium",1,0))</f>
        <v>0</v>
      </c>
      <c r="P297">
        <f>IF(L297="high",2,0)</f>
        <v>0</v>
      </c>
      <c r="Q297">
        <f>IF(M297="high",2,IF(M297="medium",1,0))</f>
        <v>0</v>
      </c>
      <c r="R297">
        <f>SUM(N297:Q297)</f>
        <v>0</v>
      </c>
      <c r="S297" t="str">
        <f>IF(R297&gt;=5,"High Risk",IF(R297&gt;=3, "Medium Risk", "Low Risk"))</f>
        <v>Low Risk</v>
      </c>
    </row>
    <row r="298" spans="1:19" x14ac:dyDescent="0.25">
      <c r="A298" t="s">
        <v>341</v>
      </c>
      <c r="B298" t="s">
        <v>38</v>
      </c>
      <c r="C298" t="s">
        <v>28</v>
      </c>
      <c r="D298">
        <v>411559</v>
      </c>
      <c r="E298">
        <v>6</v>
      </c>
      <c r="F298">
        <v>67</v>
      </c>
      <c r="G298" t="s">
        <v>56</v>
      </c>
      <c r="H298">
        <v>2</v>
      </c>
      <c r="I298" t="s">
        <v>35</v>
      </c>
      <c r="J298" t="str">
        <f>IF(E298&gt;30,"High",IF(E298&gt;10,"Medium","Low"))</f>
        <v>Low</v>
      </c>
      <c r="K298" t="str">
        <f>IF(F298&gt;90,"High",IF(F298&gt;75,"Medium","Low"))</f>
        <v>Low</v>
      </c>
      <c r="L298" t="str">
        <f>IF(G298="Declining","High","Low")</f>
        <v>Low</v>
      </c>
      <c r="M298" t="str">
        <f>IF(H298&gt;=3,"High",IF(H298=1,"Medium","Low"))</f>
        <v>Low</v>
      </c>
      <c r="N298">
        <f>IF(J298="high",2,IF(J298="Medium",1,0))</f>
        <v>0</v>
      </c>
      <c r="O298">
        <f>IF(K298="high",2,IF(K298="medium",1,0))</f>
        <v>0</v>
      </c>
      <c r="P298">
        <f>IF(L298="high",2,0)</f>
        <v>0</v>
      </c>
      <c r="Q298">
        <f>IF(M298="high",2,IF(M298="medium",1,0))</f>
        <v>0</v>
      </c>
      <c r="R298">
        <f>SUM(N298:Q298)</f>
        <v>0</v>
      </c>
      <c r="S298" t="str">
        <f>IF(R298&gt;=5,"High Risk",IF(R298&gt;=3, "Medium Risk", "Low Risk"))</f>
        <v>Low Risk</v>
      </c>
    </row>
    <row r="299" spans="1:19" x14ac:dyDescent="0.25">
      <c r="A299" t="s">
        <v>342</v>
      </c>
      <c r="B299" t="s">
        <v>20</v>
      </c>
      <c r="C299" t="s">
        <v>21</v>
      </c>
      <c r="D299">
        <v>1116646</v>
      </c>
      <c r="E299">
        <v>9</v>
      </c>
      <c r="F299">
        <v>47</v>
      </c>
      <c r="G299" t="s">
        <v>68</v>
      </c>
      <c r="H299">
        <v>2</v>
      </c>
      <c r="I299" t="s">
        <v>23</v>
      </c>
      <c r="J299" t="str">
        <f>IF(E299&gt;30,"High",IF(E299&gt;10,"Medium","Low"))</f>
        <v>Low</v>
      </c>
      <c r="K299" t="str">
        <f>IF(F299&gt;90,"High",IF(F299&gt;75,"Medium","Low"))</f>
        <v>Low</v>
      </c>
      <c r="L299" t="str">
        <f>IF(G299="Declining","High","Low")</f>
        <v>Low</v>
      </c>
      <c r="M299" t="str">
        <f>IF(H299&gt;=3,"High",IF(H299=1,"Medium","Low"))</f>
        <v>Low</v>
      </c>
      <c r="N299">
        <f>IF(J299="high",2,IF(J299="Medium",1,0))</f>
        <v>0</v>
      </c>
      <c r="O299">
        <f>IF(K299="high",2,IF(K299="medium",1,0))</f>
        <v>0</v>
      </c>
      <c r="P299">
        <f>IF(L299="high",2,0)</f>
        <v>0</v>
      </c>
      <c r="Q299">
        <f>IF(M299="high",2,IF(M299="medium",1,0))</f>
        <v>0</v>
      </c>
      <c r="R299">
        <f>SUM(N299:Q299)</f>
        <v>0</v>
      </c>
      <c r="S299" t="str">
        <f>IF(R299&gt;=5,"High Risk",IF(R299&gt;=3, "Medium Risk", "Low Risk"))</f>
        <v>Low Risk</v>
      </c>
    </row>
    <row r="300" spans="1:19" x14ac:dyDescent="0.25">
      <c r="A300" t="s">
        <v>343</v>
      </c>
      <c r="B300" t="s">
        <v>31</v>
      </c>
      <c r="C300" t="s">
        <v>28</v>
      </c>
      <c r="D300">
        <v>649608</v>
      </c>
      <c r="E300">
        <v>0</v>
      </c>
      <c r="F300">
        <v>58</v>
      </c>
      <c r="G300" t="s">
        <v>56</v>
      </c>
      <c r="H300">
        <v>0</v>
      </c>
      <c r="I300" t="s">
        <v>24</v>
      </c>
      <c r="J300" t="str">
        <f>IF(E300&gt;30,"High",IF(E300&gt;10,"Medium","Low"))</f>
        <v>Low</v>
      </c>
      <c r="K300" t="str">
        <f>IF(F300&gt;90,"High",IF(F300&gt;75,"Medium","Low"))</f>
        <v>Low</v>
      </c>
      <c r="L300" t="str">
        <f>IF(G300="Declining","High","Low")</f>
        <v>Low</v>
      </c>
      <c r="M300" t="str">
        <f>IF(H300&gt;=3,"High",IF(H300=1,"Medium","Low"))</f>
        <v>Low</v>
      </c>
      <c r="N300">
        <f>IF(J300="high",2,IF(J300="Medium",1,0))</f>
        <v>0</v>
      </c>
      <c r="O300">
        <f>IF(K300="high",2,IF(K300="medium",1,0))</f>
        <v>0</v>
      </c>
      <c r="P300">
        <f>IF(L300="high",2,0)</f>
        <v>0</v>
      </c>
      <c r="Q300">
        <f>IF(M300="high",2,IF(M300="medium",1,0))</f>
        <v>0</v>
      </c>
      <c r="R300">
        <f>SUM(N300:Q300)</f>
        <v>0</v>
      </c>
      <c r="S300" t="str">
        <f>IF(R300&gt;=5,"High Risk",IF(R300&gt;=3, "Medium Risk", "Low Risk"))</f>
        <v>Low Risk</v>
      </c>
    </row>
    <row r="301" spans="1:19" x14ac:dyDescent="0.25">
      <c r="A301" t="s">
        <v>344</v>
      </c>
      <c r="B301" t="s">
        <v>41</v>
      </c>
      <c r="C301" t="s">
        <v>34</v>
      </c>
      <c r="D301">
        <v>639159</v>
      </c>
      <c r="E301">
        <v>4</v>
      </c>
      <c r="F301">
        <v>72</v>
      </c>
      <c r="G301" t="s">
        <v>56</v>
      </c>
      <c r="H301">
        <v>0</v>
      </c>
      <c r="I301" t="s">
        <v>23</v>
      </c>
      <c r="J301" t="str">
        <f>IF(E301&gt;30,"High",IF(E301&gt;10,"Medium","Low"))</f>
        <v>Low</v>
      </c>
      <c r="K301" t="str">
        <f>IF(F301&gt;90,"High",IF(F301&gt;75,"Medium","Low"))</f>
        <v>Low</v>
      </c>
      <c r="L301" t="str">
        <f>IF(G301="Declining","High","Low")</f>
        <v>Low</v>
      </c>
      <c r="M301" t="str">
        <f>IF(H301&gt;=3,"High",IF(H301=1,"Medium","Low"))</f>
        <v>Low</v>
      </c>
      <c r="N301">
        <f>IF(J301="high",2,IF(J301="Medium",1,0))</f>
        <v>0</v>
      </c>
      <c r="O301">
        <f>IF(K301="high",2,IF(K301="medium",1,0))</f>
        <v>0</v>
      </c>
      <c r="P301">
        <f>IF(L301="high",2,0)</f>
        <v>0</v>
      </c>
      <c r="Q301">
        <f>IF(M301="high",2,IF(M301="medium",1,0))</f>
        <v>0</v>
      </c>
      <c r="R301">
        <f>SUM(N301:Q301)</f>
        <v>0</v>
      </c>
      <c r="S301" t="str">
        <f>IF(R301&gt;=5,"High Risk",IF(R301&gt;=3, "Medium Risk", "Low Risk"))</f>
        <v>Low Risk</v>
      </c>
    </row>
  </sheetData>
  <autoFilter ref="A1:X1">
    <sortState ref="A2:X301">
      <sortCondition descending="1" ref="R1"/>
    </sortState>
  </autoFilter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Level</vt:lpstr>
      <vt:lpstr>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Singhal</dc:creator>
  <cp:lastModifiedBy>NEHA SINGHAL</cp:lastModifiedBy>
  <dcterms:created xsi:type="dcterms:W3CDTF">2026-03-15T08:50:37Z</dcterms:created>
  <dcterms:modified xsi:type="dcterms:W3CDTF">2026-03-15T09:08:22Z</dcterms:modified>
</cp:coreProperties>
</file>