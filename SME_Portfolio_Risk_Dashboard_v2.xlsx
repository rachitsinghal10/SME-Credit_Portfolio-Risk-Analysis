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60" windowWidth="20115" windowHeight="7905"/>
  </bookViews>
  <sheets>
    <sheet name="Dashboard" sheetId="4" r:id="rId1"/>
    <sheet name="SME_Portfolio" sheetId="1" r:id="rId2"/>
    <sheet name="KPI" sheetId="2" r:id="rId3"/>
    <sheet name="Sheet2" sheetId="7" r:id="rId4"/>
    <sheet name="Dashboard Github" sheetId="6" r:id="rId5"/>
    <sheet name="Dashboard 1" sheetId="5" r:id="rId6"/>
    <sheet name="Top Exposure Helper" sheetId="8" r:id="rId7"/>
  </sheets>
  <definedNames>
    <definedName name="_xlnm._FilterDatabase" localSheetId="4" hidden="1">'Dashboard Github'!$A$121:$B$121</definedName>
  </definedNames>
  <calcPr calcId="144525"/>
  <pivotCaches>
    <pivotCache cacheId="0" r:id="rId8"/>
  </pivotCaches>
</workbook>
</file>

<file path=xl/calcChain.xml><?xml version="1.0" encoding="utf-8"?>
<calcChain xmlns="http://schemas.openxmlformats.org/spreadsheetml/2006/main">
  <c r="B123" i="6" l="1"/>
  <c r="B122" i="6"/>
  <c r="B131" i="6"/>
  <c r="B130" i="6"/>
  <c r="B129" i="6"/>
  <c r="B128" i="6"/>
  <c r="B127" i="6"/>
  <c r="B126" i="6"/>
  <c r="B125" i="6"/>
  <c r="B124" i="6"/>
  <c r="B121" i="6"/>
  <c r="A131" i="6"/>
  <c r="A130" i="6"/>
  <c r="A129" i="6"/>
  <c r="A128" i="6"/>
  <c r="A127" i="6"/>
  <c r="A126" i="6"/>
  <c r="A125" i="6"/>
  <c r="A124" i="6"/>
  <c r="A123" i="6"/>
  <c r="A122" i="6"/>
  <c r="A121" i="6"/>
  <c r="K113" i="6"/>
  <c r="K112" i="6"/>
  <c r="A17" i="8"/>
  <c r="B17" i="8"/>
  <c r="C17" i="8"/>
  <c r="D17" i="8"/>
  <c r="A18" i="8"/>
  <c r="B18" i="8"/>
  <c r="C18" i="8"/>
  <c r="D18" i="8"/>
  <c r="A19" i="8"/>
  <c r="B19" i="8"/>
  <c r="C19" i="8"/>
  <c r="D19" i="8"/>
  <c r="A20" i="8"/>
  <c r="B20" i="8"/>
  <c r="C20" i="8"/>
  <c r="D20" i="8"/>
  <c r="A21" i="8"/>
  <c r="B21" i="8"/>
  <c r="C21" i="8"/>
  <c r="D21" i="8"/>
  <c r="A22" i="8"/>
  <c r="B22" i="8"/>
  <c r="C22" i="8"/>
  <c r="D22" i="8"/>
  <c r="A23" i="8"/>
  <c r="B23" i="8"/>
  <c r="C23" i="8"/>
  <c r="D23" i="8"/>
  <c r="A24" i="8"/>
  <c r="B24" i="8"/>
  <c r="C24" i="8"/>
  <c r="D24" i="8"/>
  <c r="A25" i="8"/>
  <c r="B25" i="8"/>
  <c r="C25" i="8"/>
  <c r="D25" i="8"/>
  <c r="D16" i="8"/>
  <c r="C16" i="8"/>
  <c r="B16" i="8"/>
  <c r="A16" i="8"/>
  <c r="D11" i="8"/>
  <c r="C11" i="8" s="1"/>
  <c r="D10" i="8"/>
  <c r="C10" i="8" s="1"/>
  <c r="D9" i="8"/>
  <c r="C9" i="8" s="1"/>
  <c r="D8" i="8"/>
  <c r="C8" i="8" s="1"/>
  <c r="D7" i="8"/>
  <c r="C7" i="8" s="1"/>
  <c r="D6" i="8"/>
  <c r="C6" i="8" s="1"/>
  <c r="D5" i="8"/>
  <c r="C5" i="8" s="1"/>
  <c r="D4" i="8"/>
  <c r="C4" i="8" s="1"/>
  <c r="D3" i="8"/>
  <c r="C3" i="8" s="1"/>
  <c r="D2" i="8"/>
  <c r="C2" i="8" s="1"/>
  <c r="D107" i="6"/>
  <c r="D108" i="6"/>
  <c r="D109" i="6"/>
  <c r="D110" i="6"/>
  <c r="D111" i="6"/>
  <c r="D112" i="6"/>
  <c r="D113" i="6"/>
  <c r="D114" i="6"/>
  <c r="D115" i="6"/>
  <c r="D106" i="6"/>
  <c r="C107" i="6"/>
  <c r="C108" i="6"/>
  <c r="C109" i="6"/>
  <c r="C110" i="6"/>
  <c r="C111" i="6"/>
  <c r="C112" i="6"/>
  <c r="C113" i="6"/>
  <c r="C114" i="6"/>
  <c r="C115" i="6"/>
  <c r="C106" i="6"/>
  <c r="B107" i="6"/>
  <c r="B108" i="6"/>
  <c r="B109" i="6"/>
  <c r="B110" i="6"/>
  <c r="B111" i="6"/>
  <c r="B112" i="6"/>
  <c r="B113" i="6"/>
  <c r="B114" i="6"/>
  <c r="B115" i="6"/>
  <c r="B106" i="6"/>
  <c r="E106" i="6"/>
  <c r="E115" i="6"/>
  <c r="E114" i="6"/>
  <c r="E113" i="6"/>
  <c r="E112" i="6"/>
  <c r="E111" i="6"/>
  <c r="E110" i="6"/>
  <c r="E109" i="6"/>
  <c r="E108" i="6"/>
  <c r="E107" i="6"/>
  <c r="K107" i="6"/>
  <c r="B32" i="6"/>
  <c r="B31" i="6"/>
  <c r="B30" i="6"/>
  <c r="B29" i="6"/>
  <c r="C14" i="6"/>
  <c r="B14" i="6"/>
  <c r="C13" i="6"/>
  <c r="B13" i="6"/>
  <c r="C12" i="6"/>
  <c r="B12" i="6"/>
  <c r="C11" i="6"/>
  <c r="B11" i="6"/>
  <c r="B5" i="6"/>
  <c r="B4" i="6"/>
  <c r="B3" i="6"/>
  <c r="B2" i="6"/>
  <c r="A2" i="8" l="1"/>
  <c r="A3" i="8"/>
  <c r="A4" i="8"/>
  <c r="A5" i="8"/>
  <c r="A6" i="8"/>
  <c r="A7" i="8"/>
  <c r="A8" i="8"/>
  <c r="A9" i="8"/>
  <c r="A10" i="8"/>
  <c r="A11" i="8"/>
  <c r="B2" i="8"/>
  <c r="B3" i="8"/>
  <c r="B4" i="8"/>
  <c r="B5" i="8"/>
  <c r="B6" i="8"/>
  <c r="B7" i="8"/>
  <c r="B8" i="8"/>
  <c r="B9" i="8"/>
  <c r="B10" i="8"/>
  <c r="B11" i="8"/>
  <c r="B2" i="2"/>
  <c r="B4" i="5" s="1"/>
  <c r="B29" i="5"/>
  <c r="B30" i="5"/>
  <c r="B31" i="5"/>
  <c r="B32" i="5"/>
  <c r="C9" i="5"/>
  <c r="B9" i="5"/>
  <c r="C10" i="5"/>
  <c r="B10" i="5"/>
  <c r="C11" i="5"/>
  <c r="B11" i="5"/>
  <c r="C12" i="5"/>
  <c r="B12" i="5"/>
  <c r="B3" i="2"/>
  <c r="B5" i="5" s="1"/>
  <c r="B3" i="5"/>
  <c r="B2" i="5"/>
  <c r="B8" i="2" l="1"/>
  <c r="B7" i="2"/>
  <c r="G9" i="2"/>
  <c r="G10" i="2"/>
  <c r="G11" i="2"/>
  <c r="G8" i="2"/>
  <c r="F9" i="2"/>
  <c r="F10" i="2"/>
  <c r="F11" i="2"/>
  <c r="F8" i="2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2" i="1"/>
  <c r="B6" i="2"/>
  <c r="B5" i="2" l="1"/>
  <c r="B4" i="2"/>
  <c r="B1" i="2"/>
</calcChain>
</file>

<file path=xl/sharedStrings.xml><?xml version="1.0" encoding="utf-8"?>
<sst xmlns="http://schemas.openxmlformats.org/spreadsheetml/2006/main" count="4290" uniqueCount="558">
  <si>
    <t>Loan_ID</t>
  </si>
  <si>
    <t>Customer_ID</t>
  </si>
  <si>
    <t>Branch</t>
  </si>
  <si>
    <t>Region</t>
  </si>
  <si>
    <t>Relationship_Manager</t>
  </si>
  <si>
    <t>Product_Type</t>
  </si>
  <si>
    <t>Sanction_Amount</t>
  </si>
  <si>
    <t>Outstanding_Amount</t>
  </si>
  <si>
    <t>Undrawn_Limit</t>
  </si>
  <si>
    <t>Limit_Utilization_%</t>
  </si>
  <si>
    <t>Interest_Rate</t>
  </si>
  <si>
    <t>Days_Past_Due</t>
  </si>
  <si>
    <t>SMA_Category</t>
  </si>
  <si>
    <t>NPA_Flag</t>
  </si>
  <si>
    <t>Risk_Category</t>
  </si>
  <si>
    <t>Restructured_Flag</t>
  </si>
  <si>
    <t>Bounce_Count_Last_6M</t>
  </si>
  <si>
    <t>Sector</t>
  </si>
  <si>
    <t>Industry_Subtype</t>
  </si>
  <si>
    <t>Years_in_Business</t>
  </si>
  <si>
    <t>Annual_Turnover</t>
  </si>
  <si>
    <t>Internal_Credit_Rating</t>
  </si>
  <si>
    <t>Sanction_Date</t>
  </si>
  <si>
    <t>Disbursement_Date</t>
  </si>
  <si>
    <t>Reporting_Month</t>
  </si>
  <si>
    <t>LN00001</t>
  </si>
  <si>
    <t>CUST0041</t>
  </si>
  <si>
    <t>Mumbai_Central</t>
  </si>
  <si>
    <t>North</t>
  </si>
  <si>
    <t>RM_1</t>
  </si>
  <si>
    <t>OD</t>
  </si>
  <si>
    <t>SMA-0</t>
  </si>
  <si>
    <t>Low</t>
  </si>
  <si>
    <t>Trading</t>
  </si>
  <si>
    <t>Textile</t>
  </si>
  <si>
    <t>C</t>
  </si>
  <si>
    <t>LN00002</t>
  </si>
  <si>
    <t>CUST0166</t>
  </si>
  <si>
    <t>Kolkata_East</t>
  </si>
  <si>
    <t>South</t>
  </si>
  <si>
    <t>RM_6</t>
  </si>
  <si>
    <t>Manufacturing</t>
  </si>
  <si>
    <t>LN00003</t>
  </si>
  <si>
    <t>CUST0067</t>
  </si>
  <si>
    <t>Bangalore_South</t>
  </si>
  <si>
    <t>RM_8</t>
  </si>
  <si>
    <t>CC</t>
  </si>
  <si>
    <t>Services</t>
  </si>
  <si>
    <t>FMCG</t>
  </si>
  <si>
    <t>A</t>
  </si>
  <si>
    <t>LN00004</t>
  </si>
  <si>
    <t>CUST0039</t>
  </si>
  <si>
    <t>East</t>
  </si>
  <si>
    <t>RM_2</t>
  </si>
  <si>
    <t>Term Loan</t>
  </si>
  <si>
    <t>SMA-1</t>
  </si>
  <si>
    <t>Medium</t>
  </si>
  <si>
    <t>Pharma</t>
  </si>
  <si>
    <t>D</t>
  </si>
  <si>
    <t>LN00005</t>
  </si>
  <si>
    <t>CUST0081</t>
  </si>
  <si>
    <t>West</t>
  </si>
  <si>
    <t>LN00006</t>
  </si>
  <si>
    <t>CUST0080</t>
  </si>
  <si>
    <t>Electronics</t>
  </si>
  <si>
    <t>B</t>
  </si>
  <si>
    <t>LN00007</t>
  </si>
  <si>
    <t>CUST0110</t>
  </si>
  <si>
    <t>LAP</t>
  </si>
  <si>
    <t>NPA</t>
  </si>
  <si>
    <t>High</t>
  </si>
  <si>
    <t>LN00008</t>
  </si>
  <si>
    <t>CUST0030</t>
  </si>
  <si>
    <t>RM_5</t>
  </si>
  <si>
    <t>LN00009</t>
  </si>
  <si>
    <t>CUST0133</t>
  </si>
  <si>
    <t>LN00010</t>
  </si>
  <si>
    <t>CUST0184</t>
  </si>
  <si>
    <t>Delhi_North</t>
  </si>
  <si>
    <t>Auto Parts</t>
  </si>
  <si>
    <t>LN00011</t>
  </si>
  <si>
    <t>CUST0090</t>
  </si>
  <si>
    <t>RM_3</t>
  </si>
  <si>
    <t>LN00012</t>
  </si>
  <si>
    <t>CUST0022</t>
  </si>
  <si>
    <t>RM_7</t>
  </si>
  <si>
    <t>LN00013</t>
  </si>
  <si>
    <t>CUST0139</t>
  </si>
  <si>
    <t>LN00014</t>
  </si>
  <si>
    <t>CUST0037</t>
  </si>
  <si>
    <t>SMA-2</t>
  </si>
  <si>
    <t>Others</t>
  </si>
  <si>
    <t>LN00015</t>
  </si>
  <si>
    <t>CUST0084</t>
  </si>
  <si>
    <t>RM_4</t>
  </si>
  <si>
    <t>LN00016</t>
  </si>
  <si>
    <t>CUST0192</t>
  </si>
  <si>
    <t>RM_10</t>
  </si>
  <si>
    <t>LN00017</t>
  </si>
  <si>
    <t>CUST0161</t>
  </si>
  <si>
    <t>LN00018</t>
  </si>
  <si>
    <t>CUST0048</t>
  </si>
  <si>
    <t>RM_9</t>
  </si>
  <si>
    <t>LN00019</t>
  </si>
  <si>
    <t>CUST0007</t>
  </si>
  <si>
    <t>LN00020</t>
  </si>
  <si>
    <t>CUST0162</t>
  </si>
  <si>
    <t>LN00021</t>
  </si>
  <si>
    <t>CUST0142</t>
  </si>
  <si>
    <t>LN00022</t>
  </si>
  <si>
    <t>CUST0060</t>
  </si>
  <si>
    <t>LN00023</t>
  </si>
  <si>
    <t>CUST0038</t>
  </si>
  <si>
    <t>LN00024</t>
  </si>
  <si>
    <t>CUST0046</t>
  </si>
  <si>
    <t>LN00025</t>
  </si>
  <si>
    <t>LN00026</t>
  </si>
  <si>
    <t>CUST0178</t>
  </si>
  <si>
    <t>LN00027</t>
  </si>
  <si>
    <t>CUST0017</t>
  </si>
  <si>
    <t>LN00028</t>
  </si>
  <si>
    <t>CUST0120</t>
  </si>
  <si>
    <t>LN00029</t>
  </si>
  <si>
    <t>CUST0034</t>
  </si>
  <si>
    <t>LN00030</t>
  </si>
  <si>
    <t>CUST0187</t>
  </si>
  <si>
    <t>LN00031</t>
  </si>
  <si>
    <t>CUST0123</t>
  </si>
  <si>
    <t>LN00032</t>
  </si>
  <si>
    <t>LN00033</t>
  </si>
  <si>
    <t>CUST0026</t>
  </si>
  <si>
    <t>LN00034</t>
  </si>
  <si>
    <t>CUST0118</t>
  </si>
  <si>
    <t>LN00035</t>
  </si>
  <si>
    <t>CUST0050</t>
  </si>
  <si>
    <t>LN00036</t>
  </si>
  <si>
    <t>CUST0111</t>
  </si>
  <si>
    <t>LN00037</t>
  </si>
  <si>
    <t>CUST0055</t>
  </si>
  <si>
    <t>LN00038</t>
  </si>
  <si>
    <t>CUST0065</t>
  </si>
  <si>
    <t>LN00039</t>
  </si>
  <si>
    <t>CUST0124</t>
  </si>
  <si>
    <t>LN00040</t>
  </si>
  <si>
    <t>LN00041</t>
  </si>
  <si>
    <t>CUST0127</t>
  </si>
  <si>
    <t>LN00042</t>
  </si>
  <si>
    <t>CUST0165</t>
  </si>
  <si>
    <t>LN00043</t>
  </si>
  <si>
    <t>CUST0137</t>
  </si>
  <si>
    <t>LN00044</t>
  </si>
  <si>
    <t>CUST0175</t>
  </si>
  <si>
    <t>LN00045</t>
  </si>
  <si>
    <t>CUST0008</t>
  </si>
  <si>
    <t>LN00046</t>
  </si>
  <si>
    <t>CUST0087</t>
  </si>
  <si>
    <t>LN00047</t>
  </si>
  <si>
    <t>CUST0105</t>
  </si>
  <si>
    <t>LN00048</t>
  </si>
  <si>
    <t>LN00049</t>
  </si>
  <si>
    <t>CUST0115</t>
  </si>
  <si>
    <t>LN00050</t>
  </si>
  <si>
    <t>CUST0100</t>
  </si>
  <si>
    <t>LN00051</t>
  </si>
  <si>
    <t>CUST0150</t>
  </si>
  <si>
    <t>LN00052</t>
  </si>
  <si>
    <t>CUST0173</t>
  </si>
  <si>
    <t>LN00053</t>
  </si>
  <si>
    <t>CUST0129</t>
  </si>
  <si>
    <t>LN00054</t>
  </si>
  <si>
    <t>LN00055</t>
  </si>
  <si>
    <t>CUST0089</t>
  </si>
  <si>
    <t>LN00056</t>
  </si>
  <si>
    <t>LN00057</t>
  </si>
  <si>
    <t>CUST0062</t>
  </si>
  <si>
    <t>LN00058</t>
  </si>
  <si>
    <t>LN00059</t>
  </si>
  <si>
    <t>CUST0044</t>
  </si>
  <si>
    <t>LN00060</t>
  </si>
  <si>
    <t>CUST0009</t>
  </si>
  <si>
    <t>LN00061</t>
  </si>
  <si>
    <t>LN00062</t>
  </si>
  <si>
    <t>CUST0075</t>
  </si>
  <si>
    <t>LN00063</t>
  </si>
  <si>
    <t>CUST0004</t>
  </si>
  <si>
    <t>LN00064</t>
  </si>
  <si>
    <t>LN00065</t>
  </si>
  <si>
    <t>CUST0064</t>
  </si>
  <si>
    <t>LN00066</t>
  </si>
  <si>
    <t>CUST0043</t>
  </si>
  <si>
    <t>LN00067</t>
  </si>
  <si>
    <t>CUST0051</t>
  </si>
  <si>
    <t>LN00068</t>
  </si>
  <si>
    <t>LN00069</t>
  </si>
  <si>
    <t>CUST0180</t>
  </si>
  <si>
    <t>LN00070</t>
  </si>
  <si>
    <t>CUST0024</t>
  </si>
  <si>
    <t>LN00071</t>
  </si>
  <si>
    <t>LN00072</t>
  </si>
  <si>
    <t>CUST0156</t>
  </si>
  <si>
    <t>LN00073</t>
  </si>
  <si>
    <t>LN00074</t>
  </si>
  <si>
    <t>CUST0005</t>
  </si>
  <si>
    <t>LN00075</t>
  </si>
  <si>
    <t>CUST0176</t>
  </si>
  <si>
    <t>LN00076</t>
  </si>
  <si>
    <t>LN00077</t>
  </si>
  <si>
    <t>CUST0029</t>
  </si>
  <si>
    <t>LN00078</t>
  </si>
  <si>
    <t>CUST0121</t>
  </si>
  <si>
    <t>LN00079</t>
  </si>
  <si>
    <t>CUST0198</t>
  </si>
  <si>
    <t>LN00080</t>
  </si>
  <si>
    <t>CUST0135</t>
  </si>
  <si>
    <t>LN00081</t>
  </si>
  <si>
    <t>CUST0197</t>
  </si>
  <si>
    <t>LN00082</t>
  </si>
  <si>
    <t>CUST0054</t>
  </si>
  <si>
    <t>LN00083</t>
  </si>
  <si>
    <t>CUST0125</t>
  </si>
  <si>
    <t>LN00084</t>
  </si>
  <si>
    <t>LN00085</t>
  </si>
  <si>
    <t>CUST0097</t>
  </si>
  <si>
    <t>LN00086</t>
  </si>
  <si>
    <t>LN00087</t>
  </si>
  <si>
    <t>CUST0149</t>
  </si>
  <si>
    <t>LN00088</t>
  </si>
  <si>
    <t>LN00089</t>
  </si>
  <si>
    <t>CUST0091</t>
  </si>
  <si>
    <t>LN00090</t>
  </si>
  <si>
    <t>LN00091</t>
  </si>
  <si>
    <t>CUST0138</t>
  </si>
  <si>
    <t>LN00092</t>
  </si>
  <si>
    <t>CUST0131</t>
  </si>
  <si>
    <t>LN00093</t>
  </si>
  <si>
    <t>CUST0169</t>
  </si>
  <si>
    <t>LN00094</t>
  </si>
  <si>
    <t>LN00095</t>
  </si>
  <si>
    <t>CUST0016</t>
  </si>
  <si>
    <t>LN00096</t>
  </si>
  <si>
    <t>LN00097</t>
  </si>
  <si>
    <t>LN00098</t>
  </si>
  <si>
    <t>LN00099</t>
  </si>
  <si>
    <t>LN00100</t>
  </si>
  <si>
    <t>CUST0158</t>
  </si>
  <si>
    <t>LN00101</t>
  </si>
  <si>
    <t>LN00102</t>
  </si>
  <si>
    <t>LN00103</t>
  </si>
  <si>
    <t>CUST0061</t>
  </si>
  <si>
    <t>LN00104</t>
  </si>
  <si>
    <t>CUST0033</t>
  </si>
  <si>
    <t>LN00105</t>
  </si>
  <si>
    <t>LN00106</t>
  </si>
  <si>
    <t>LN00107</t>
  </si>
  <si>
    <t>CUST0025</t>
  </si>
  <si>
    <t>LN00108</t>
  </si>
  <si>
    <t>CUST0003</t>
  </si>
  <si>
    <t>LN00109</t>
  </si>
  <si>
    <t>LN00110</t>
  </si>
  <si>
    <t>CUST0099</t>
  </si>
  <si>
    <t>LN00111</t>
  </si>
  <si>
    <t>LN00112</t>
  </si>
  <si>
    <t>CUST0193</t>
  </si>
  <si>
    <t>LN00113</t>
  </si>
  <si>
    <t>CUST0117</t>
  </si>
  <si>
    <t>LN00114</t>
  </si>
  <si>
    <t>LN00115</t>
  </si>
  <si>
    <t>LN00116</t>
  </si>
  <si>
    <t>CUST0159</t>
  </si>
  <si>
    <t>LN00117</t>
  </si>
  <si>
    <t>CUST0172</t>
  </si>
  <si>
    <t>LN00118</t>
  </si>
  <si>
    <t>CUST0177</t>
  </si>
  <si>
    <t>LN00119</t>
  </si>
  <si>
    <t>CUST0012</t>
  </si>
  <si>
    <t>LN00120</t>
  </si>
  <si>
    <t>CUST0134</t>
  </si>
  <si>
    <t>LN00121</t>
  </si>
  <si>
    <t>LN00122</t>
  </si>
  <si>
    <t>CUST0114</t>
  </si>
  <si>
    <t>LN00123</t>
  </si>
  <si>
    <t>CUST0015</t>
  </si>
  <si>
    <t>LN00124</t>
  </si>
  <si>
    <t>CUST0141</t>
  </si>
  <si>
    <t>LN00125</t>
  </si>
  <si>
    <t>LN00126</t>
  </si>
  <si>
    <t>CUST0001</t>
  </si>
  <si>
    <t>LN00127</t>
  </si>
  <si>
    <t>LN00128</t>
  </si>
  <si>
    <t>CUST0057</t>
  </si>
  <si>
    <t>LN00129</t>
  </si>
  <si>
    <t>CUST0066</t>
  </si>
  <si>
    <t>LN00130</t>
  </si>
  <si>
    <t>LN00131</t>
  </si>
  <si>
    <t>LN00132</t>
  </si>
  <si>
    <t>LN00133</t>
  </si>
  <si>
    <t>CUST0163</t>
  </si>
  <si>
    <t>LN00134</t>
  </si>
  <si>
    <t>CUST0179</t>
  </si>
  <si>
    <t>LN00135</t>
  </si>
  <si>
    <t>CUST0182</t>
  </si>
  <si>
    <t>LN00136</t>
  </si>
  <si>
    <t>CUST0052</t>
  </si>
  <si>
    <t>LN00137</t>
  </si>
  <si>
    <t>LN00138</t>
  </si>
  <si>
    <t>LN00139</t>
  </si>
  <si>
    <t>CUST0103</t>
  </si>
  <si>
    <t>LN00140</t>
  </si>
  <si>
    <t>LN00141</t>
  </si>
  <si>
    <t>CUST0053</t>
  </si>
  <si>
    <t>LN00142</t>
  </si>
  <si>
    <t>CUST0132</t>
  </si>
  <si>
    <t>LN00143</t>
  </si>
  <si>
    <t>CUST0036</t>
  </si>
  <si>
    <t>LN00144</t>
  </si>
  <si>
    <t>CUST0006</t>
  </si>
  <si>
    <t>LN00145</t>
  </si>
  <si>
    <t>CUST0063</t>
  </si>
  <si>
    <t>LN00146</t>
  </si>
  <si>
    <t>LN00147</t>
  </si>
  <si>
    <t>CUST0126</t>
  </si>
  <si>
    <t>LN00148</t>
  </si>
  <si>
    <t>LN00149</t>
  </si>
  <si>
    <t>LN00150</t>
  </si>
  <si>
    <t>LN00151</t>
  </si>
  <si>
    <t>LN00152</t>
  </si>
  <si>
    <t>LN00153</t>
  </si>
  <si>
    <t>LN00154</t>
  </si>
  <si>
    <t>CUST0010</t>
  </si>
  <si>
    <t>LN00155</t>
  </si>
  <si>
    <t>LN00156</t>
  </si>
  <si>
    <t>CUST0049</t>
  </si>
  <si>
    <t>LN00157</t>
  </si>
  <si>
    <t>CUST0152</t>
  </si>
  <si>
    <t>LN00158</t>
  </si>
  <si>
    <t>LN00159</t>
  </si>
  <si>
    <t>CUST0186</t>
  </si>
  <si>
    <t>LN00160</t>
  </si>
  <si>
    <t>LN00161</t>
  </si>
  <si>
    <t>LN00162</t>
  </si>
  <si>
    <t>CUST0189</t>
  </si>
  <si>
    <t>LN00163</t>
  </si>
  <si>
    <t>LN00164</t>
  </si>
  <si>
    <t>LN00165</t>
  </si>
  <si>
    <t>CUST0108</t>
  </si>
  <si>
    <t>LN00166</t>
  </si>
  <si>
    <t>LN00167</t>
  </si>
  <si>
    <t>LN00168</t>
  </si>
  <si>
    <t>LN00169</t>
  </si>
  <si>
    <t>LN00170</t>
  </si>
  <si>
    <t>CUST0056</t>
  </si>
  <si>
    <t>LN00171</t>
  </si>
  <si>
    <t>CUST0188</t>
  </si>
  <si>
    <t>LN00172</t>
  </si>
  <si>
    <t>LN00173</t>
  </si>
  <si>
    <t>CUST0145</t>
  </si>
  <si>
    <t>LN00174</t>
  </si>
  <si>
    <t>LN00175</t>
  </si>
  <si>
    <t>LN00176</t>
  </si>
  <si>
    <t>LN00177</t>
  </si>
  <si>
    <t>CUST0018</t>
  </si>
  <si>
    <t>LN00178</t>
  </si>
  <si>
    <t>CUST0101</t>
  </si>
  <si>
    <t>LN00179</t>
  </si>
  <si>
    <t>LN00180</t>
  </si>
  <si>
    <t>LN00181</t>
  </si>
  <si>
    <t>CUST0093</t>
  </si>
  <si>
    <t>LN00182</t>
  </si>
  <si>
    <t>CUST0107</t>
  </si>
  <si>
    <t>LN00183</t>
  </si>
  <si>
    <t>LN00184</t>
  </si>
  <si>
    <t>LN00185</t>
  </si>
  <si>
    <t>LN00186</t>
  </si>
  <si>
    <t>LN00187</t>
  </si>
  <si>
    <t>LN00188</t>
  </si>
  <si>
    <t>LN00189</t>
  </si>
  <si>
    <t>LN00190</t>
  </si>
  <si>
    <t>CUST0119</t>
  </si>
  <si>
    <t>LN00191</t>
  </si>
  <si>
    <t>LN00192</t>
  </si>
  <si>
    <t>LN00193</t>
  </si>
  <si>
    <t>LN00194</t>
  </si>
  <si>
    <t>LN00195</t>
  </si>
  <si>
    <t>CUST0096</t>
  </si>
  <si>
    <t>LN00196</t>
  </si>
  <si>
    <t>CUST0028</t>
  </si>
  <si>
    <t>LN00197</t>
  </si>
  <si>
    <t>LN00198</t>
  </si>
  <si>
    <t>LN00199</t>
  </si>
  <si>
    <t>LN00200</t>
  </si>
  <si>
    <t>LN00201</t>
  </si>
  <si>
    <t>LN00202</t>
  </si>
  <si>
    <t>CUST0130</t>
  </si>
  <si>
    <t>LN00203</t>
  </si>
  <si>
    <t>LN00204</t>
  </si>
  <si>
    <t>LN00205</t>
  </si>
  <si>
    <t>CUST0070</t>
  </si>
  <si>
    <t>LN00206</t>
  </si>
  <si>
    <t>CUST0072</t>
  </si>
  <si>
    <t>LN00207</t>
  </si>
  <si>
    <t>LN00208</t>
  </si>
  <si>
    <t>LN00209</t>
  </si>
  <si>
    <t>CUST0042</t>
  </si>
  <si>
    <t>LN00210</t>
  </si>
  <si>
    <t>LN00211</t>
  </si>
  <si>
    <t>CUST0040</t>
  </si>
  <si>
    <t>LN00212</t>
  </si>
  <si>
    <t>CUST0122</t>
  </si>
  <si>
    <t>LN00213</t>
  </si>
  <si>
    <t>LN00214</t>
  </si>
  <si>
    <t>LN00215</t>
  </si>
  <si>
    <t>LN00216</t>
  </si>
  <si>
    <t>CUST0013</t>
  </si>
  <si>
    <t>LN00217</t>
  </si>
  <si>
    <t>LN00218</t>
  </si>
  <si>
    <t>LN00219</t>
  </si>
  <si>
    <t>LN00220</t>
  </si>
  <si>
    <t>CUST0153</t>
  </si>
  <si>
    <t>LN00221</t>
  </si>
  <si>
    <t>CUST0128</t>
  </si>
  <si>
    <t>LN00222</t>
  </si>
  <si>
    <t>LN00223</t>
  </si>
  <si>
    <t>CUST0109</t>
  </si>
  <si>
    <t>LN00224</t>
  </si>
  <si>
    <t>CUST0076</t>
  </si>
  <si>
    <t>LN00225</t>
  </si>
  <si>
    <t>LN00226</t>
  </si>
  <si>
    <t>LN00227</t>
  </si>
  <si>
    <t>LN00228</t>
  </si>
  <si>
    <t>LN00229</t>
  </si>
  <si>
    <t>LN00230</t>
  </si>
  <si>
    <t>LN00231</t>
  </si>
  <si>
    <t>CUST0092</t>
  </si>
  <si>
    <t>LN00232</t>
  </si>
  <si>
    <t>LN00233</t>
  </si>
  <si>
    <t>LN00234</t>
  </si>
  <si>
    <t>LN00235</t>
  </si>
  <si>
    <t>LN00236</t>
  </si>
  <si>
    <t>LN00237</t>
  </si>
  <si>
    <t>LN00238</t>
  </si>
  <si>
    <t>CUST0151</t>
  </si>
  <si>
    <t>LN00239</t>
  </si>
  <si>
    <t>LN00240</t>
  </si>
  <si>
    <t>LN00241</t>
  </si>
  <si>
    <t>LN00242</t>
  </si>
  <si>
    <t>CUST0047</t>
  </si>
  <si>
    <t>LN00243</t>
  </si>
  <si>
    <t>LN00244</t>
  </si>
  <si>
    <t>CUST0031</t>
  </si>
  <si>
    <t>LN00245</t>
  </si>
  <si>
    <t>LN00246</t>
  </si>
  <si>
    <t>CUST0019</t>
  </si>
  <si>
    <t>LN00247</t>
  </si>
  <si>
    <t>LN00248</t>
  </si>
  <si>
    <t>LN00249</t>
  </si>
  <si>
    <t>CUST0147</t>
  </si>
  <si>
    <t>LN00250</t>
  </si>
  <si>
    <t>LN00251</t>
  </si>
  <si>
    <t>LN00252</t>
  </si>
  <si>
    <t>CUST0171</t>
  </si>
  <si>
    <t>LN00253</t>
  </si>
  <si>
    <t>CUST0199</t>
  </si>
  <si>
    <t>LN00254</t>
  </si>
  <si>
    <t>LN00255</t>
  </si>
  <si>
    <t>CUST0085</t>
  </si>
  <si>
    <t>LN00256</t>
  </si>
  <si>
    <t>LN00257</t>
  </si>
  <si>
    <t>LN00258</t>
  </si>
  <si>
    <t>CUST0086</t>
  </si>
  <si>
    <t>LN00259</t>
  </si>
  <si>
    <t>LN00260</t>
  </si>
  <si>
    <t>LN00261</t>
  </si>
  <si>
    <t>LN00262</t>
  </si>
  <si>
    <t>LN00263</t>
  </si>
  <si>
    <t>CUST0112</t>
  </si>
  <si>
    <t>LN00264</t>
  </si>
  <si>
    <t>LN00265</t>
  </si>
  <si>
    <t>LN00266</t>
  </si>
  <si>
    <t>CUST0069</t>
  </si>
  <si>
    <t>LN00267</t>
  </si>
  <si>
    <t>LN00268</t>
  </si>
  <si>
    <t>LN00269</t>
  </si>
  <si>
    <t>LN00270</t>
  </si>
  <si>
    <t>LN00271</t>
  </si>
  <si>
    <t>LN00272</t>
  </si>
  <si>
    <t>CUST0094</t>
  </si>
  <si>
    <t>LN00273</t>
  </si>
  <si>
    <t>LN00274</t>
  </si>
  <si>
    <t>LN00275</t>
  </si>
  <si>
    <t>LN00276</t>
  </si>
  <si>
    <t>LN00277</t>
  </si>
  <si>
    <t>LN00278</t>
  </si>
  <si>
    <t>CUST0157</t>
  </si>
  <si>
    <t>LN00279</t>
  </si>
  <si>
    <t>LN00280</t>
  </si>
  <si>
    <t>LN00281</t>
  </si>
  <si>
    <t>CUST0144</t>
  </si>
  <si>
    <t>LN00282</t>
  </si>
  <si>
    <t>LN00283</t>
  </si>
  <si>
    <t>LN00284</t>
  </si>
  <si>
    <t>CUST0154</t>
  </si>
  <si>
    <t>LN00285</t>
  </si>
  <si>
    <t>LN00286</t>
  </si>
  <si>
    <t>CUST0078</t>
  </si>
  <si>
    <t>LN00287</t>
  </si>
  <si>
    <t>LN00288</t>
  </si>
  <si>
    <t>CUST0098</t>
  </si>
  <si>
    <t>LN00289</t>
  </si>
  <si>
    <t>LN00290</t>
  </si>
  <si>
    <t>LN00291</t>
  </si>
  <si>
    <t>LN00292</t>
  </si>
  <si>
    <t>CUST0071</t>
  </si>
  <si>
    <t>LN00293</t>
  </si>
  <si>
    <t>LN00294</t>
  </si>
  <si>
    <t>LN00295</t>
  </si>
  <si>
    <t>LN00296</t>
  </si>
  <si>
    <t>LN00297</t>
  </si>
  <si>
    <t>CUST0095</t>
  </si>
  <si>
    <t>LN00298</t>
  </si>
  <si>
    <t>LN00299</t>
  </si>
  <si>
    <t>LN00300</t>
  </si>
  <si>
    <t>CUST0020</t>
  </si>
  <si>
    <t>Total Portfolio Exposure</t>
  </si>
  <si>
    <t>Gross NPA %</t>
  </si>
  <si>
    <t>High Risk Exposure %</t>
  </si>
  <si>
    <t>Average Utilisation %</t>
  </si>
  <si>
    <t>Sector Concentration Manufacturing</t>
  </si>
  <si>
    <t>Row Labels</t>
  </si>
  <si>
    <t>Grand Total</t>
  </si>
  <si>
    <t>Sum of Outstanding_Amount</t>
  </si>
  <si>
    <t>Column Labels</t>
  </si>
  <si>
    <t>Total Accounts</t>
  </si>
  <si>
    <t>NPA_Amount</t>
  </si>
  <si>
    <t>Exposure</t>
  </si>
  <si>
    <t>Highest Exposure Branch</t>
  </si>
  <si>
    <t>Highest NPA Branch</t>
  </si>
  <si>
    <t>NPA%</t>
  </si>
  <si>
    <t xml:space="preserve">KPI </t>
  </si>
  <si>
    <t>Value</t>
  </si>
  <si>
    <t>Total Exposure</t>
  </si>
  <si>
    <t>Gross NPA%</t>
  </si>
  <si>
    <t>High Risk %</t>
  </si>
  <si>
    <t>Percentage of Total</t>
  </si>
  <si>
    <t>Risk Category</t>
  </si>
  <si>
    <t>percentage of total</t>
  </si>
  <si>
    <t>Risk Category Distribution</t>
  </si>
  <si>
    <t>Sector Wise Exposure distribution</t>
  </si>
  <si>
    <t>Branch Wise NPA Ratio</t>
  </si>
  <si>
    <t>Branch Wise Exposure Distribution</t>
  </si>
  <si>
    <t>Top 10 Exposure Table</t>
  </si>
  <si>
    <t>Rank</t>
  </si>
  <si>
    <t>Outstanding</t>
  </si>
  <si>
    <t>Customer ID</t>
  </si>
  <si>
    <t>Top 10 Exposure Percentage</t>
  </si>
  <si>
    <t>Top 5 Exposure Percentage</t>
  </si>
  <si>
    <t># Top 10 borrowers account for only 6.18% of total portfolio exposure.</t>
  </si>
  <si>
    <t># Top 5 borrowers account for only 3.17% of total portfolio exposure.</t>
  </si>
  <si>
    <t># This is indicating a well diversified loan book with limited single borrower concentration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</si>
</sst>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0" fontId="0" fillId="0" borderId="21" xfId="0" applyNumberFormat="1" applyBorder="1"/>
    <xf numFmtId="10" fontId="0" fillId="0" borderId="25" xfId="0" applyNumberFormat="1" applyBorder="1"/>
    <xf numFmtId="0" fontId="0" fillId="0" borderId="26" xfId="0" applyBorder="1"/>
    <xf numFmtId="0" fontId="0" fillId="0" borderId="27" xfId="0" applyBorder="1"/>
    <xf numFmtId="0" fontId="0" fillId="0" borderId="19" xfId="0" pivotButton="1" applyBorder="1" applyAlignment="1">
      <alignment horizontal="center"/>
    </xf>
    <xf numFmtId="0" fontId="0" fillId="0" borderId="19" xfId="0" applyBorder="1" applyAlignment="1">
      <alignment horizontal="center"/>
    </xf>
    <xf numFmtId="10" fontId="0" fillId="0" borderId="1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left"/>
    </xf>
    <xf numFmtId="10" fontId="0" fillId="0" borderId="19" xfId="0" applyNumberFormat="1" applyBorder="1"/>
    <xf numFmtId="10" fontId="16" fillId="0" borderId="19" xfId="0" applyNumberFormat="1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18" fillId="0" borderId="0" xfId="0" applyFont="1"/>
    <xf numFmtId="0" fontId="13" fillId="33" borderId="19" xfId="0" applyFont="1" applyFill="1" applyBorder="1"/>
    <xf numFmtId="0" fontId="13" fillId="34" borderId="19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Branch Wise Exposure Distribution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Github'!$B$10</c:f>
              <c:strCache>
                <c:ptCount val="1"/>
                <c:pt idx="0">
                  <c:v>Exposure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'Dashboard Github'!$A$11:$A$14</c:f>
              <c:strCache>
                <c:ptCount val="4"/>
                <c:pt idx="0">
                  <c:v>Bangalore_South</c:v>
                </c:pt>
                <c:pt idx="1">
                  <c:v>Kolkata_East</c:v>
                </c:pt>
                <c:pt idx="2">
                  <c:v>Mumbai_Central</c:v>
                </c:pt>
                <c:pt idx="3">
                  <c:v>Delhi_North</c:v>
                </c:pt>
              </c:strCache>
            </c:strRef>
          </c:cat>
          <c:val>
            <c:numRef>
              <c:f>'Dashboard Github'!$B$11:$B$14</c:f>
              <c:numCache>
                <c:formatCode>General</c:formatCode>
                <c:ptCount val="4"/>
                <c:pt idx="0">
                  <c:v>371162795</c:v>
                </c:pt>
                <c:pt idx="1">
                  <c:v>535687904</c:v>
                </c:pt>
                <c:pt idx="2">
                  <c:v>569128135</c:v>
                </c:pt>
                <c:pt idx="3">
                  <c:v>586681066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523648"/>
        <c:axId val="42525440"/>
        <c:axId val="0"/>
      </c:bar3DChart>
      <c:catAx>
        <c:axId val="42523648"/>
        <c:scaling>
          <c:orientation val="minMax"/>
        </c:scaling>
        <c:delete val="0"/>
        <c:axPos val="b"/>
        <c:majorTickMark val="out"/>
        <c:minorTickMark val="none"/>
        <c:tickLblPos val="nextTo"/>
        <c:crossAx val="42525440"/>
        <c:crosses val="autoZero"/>
        <c:auto val="1"/>
        <c:lblAlgn val="ctr"/>
        <c:lblOffset val="100"/>
        <c:noMultiLvlLbl val="0"/>
      </c:catAx>
      <c:valAx>
        <c:axId val="42525440"/>
        <c:scaling>
          <c:orientation val="minMax"/>
        </c:scaling>
        <c:delete val="0"/>
        <c:axPos val="l"/>
        <c:majorGridlines/>
        <c:numFmt formatCode="#,##0_);\(#,##0\)" sourceLinked="0"/>
        <c:majorTickMark val="out"/>
        <c:minorTickMark val="none"/>
        <c:tickLblPos val="nextTo"/>
        <c:crossAx val="42523648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Branch Wise NPA</a:t>
            </a:r>
            <a:r>
              <a:rPr lang="en-IN" baseline="0"/>
              <a:t> Ratio</a:t>
            </a:r>
            <a:endParaRPr lang="en-I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Github'!$B$28</c:f>
              <c:strCache>
                <c:ptCount val="1"/>
                <c:pt idx="0">
                  <c:v>NPA%</c:v>
                </c:pt>
              </c:strCache>
            </c:strRef>
          </c:tx>
          <c:invertIfNegative val="0"/>
          <c:cat>
            <c:strRef>
              <c:f>'Dashboard Github'!$A$29:$A$32</c:f>
              <c:strCache>
                <c:ptCount val="4"/>
                <c:pt idx="0">
                  <c:v>Kolkata_East</c:v>
                </c:pt>
                <c:pt idx="1">
                  <c:v>Mumbai_Central</c:v>
                </c:pt>
                <c:pt idx="2">
                  <c:v>Bangalore_South</c:v>
                </c:pt>
                <c:pt idx="3">
                  <c:v>Delhi_North</c:v>
                </c:pt>
              </c:strCache>
            </c:strRef>
          </c:cat>
          <c:val>
            <c:numRef>
              <c:f>'Dashboard Github'!$B$29:$B$32</c:f>
              <c:numCache>
                <c:formatCode>General</c:formatCode>
                <c:ptCount val="4"/>
                <c:pt idx="0">
                  <c:v>8.7514882546237224E-2</c:v>
                </c:pt>
                <c:pt idx="1">
                  <c:v>2.7366817843226112E-2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351296"/>
        <c:axId val="47352832"/>
        <c:axId val="0"/>
      </c:bar3DChart>
      <c:catAx>
        <c:axId val="47351296"/>
        <c:scaling>
          <c:orientation val="minMax"/>
        </c:scaling>
        <c:delete val="0"/>
        <c:axPos val="b"/>
        <c:majorTickMark val="out"/>
        <c:minorTickMark val="none"/>
        <c:tickLblPos val="nextTo"/>
        <c:crossAx val="47352832"/>
        <c:crosses val="autoZero"/>
        <c:auto val="1"/>
        <c:lblAlgn val="ctr"/>
        <c:lblOffset val="100"/>
        <c:noMultiLvlLbl val="0"/>
      </c:catAx>
      <c:valAx>
        <c:axId val="47352832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473512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[SME_Portfolio_Risk_Dashboard_v1.xlsx]Dashboard Github!PivotTable1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Sector</a:t>
            </a:r>
            <a:r>
              <a:rPr lang="en-IN" baseline="0"/>
              <a:t> Wise Exposure Distribution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Github'!$B$47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'Dashboard Github'!$A$48:$A$52</c:f>
              <c:strCache>
                <c:ptCount val="4"/>
                <c:pt idx="0">
                  <c:v>Others</c:v>
                </c:pt>
                <c:pt idx="1">
                  <c:v>Services</c:v>
                </c:pt>
                <c:pt idx="2">
                  <c:v>Trading</c:v>
                </c:pt>
                <c:pt idx="3">
                  <c:v>Manufacturing</c:v>
                </c:pt>
              </c:strCache>
            </c:strRef>
          </c:cat>
          <c:val>
            <c:numRef>
              <c:f>'Dashboard Github'!$B$48:$B$52</c:f>
              <c:numCache>
                <c:formatCode>0.00%</c:formatCode>
                <c:ptCount val="4"/>
                <c:pt idx="0">
                  <c:v>0.22550208834718705</c:v>
                </c:pt>
                <c:pt idx="1">
                  <c:v>0.2374558200312131</c:v>
                </c:pt>
                <c:pt idx="2">
                  <c:v>0.26358940317790636</c:v>
                </c:pt>
                <c:pt idx="3">
                  <c:v>0.27345268844369353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416064"/>
        <c:axId val="47417600"/>
        <c:axId val="0"/>
      </c:bar3DChart>
      <c:catAx>
        <c:axId val="47416064"/>
        <c:scaling>
          <c:orientation val="minMax"/>
        </c:scaling>
        <c:delete val="0"/>
        <c:axPos val="l"/>
        <c:majorTickMark val="out"/>
        <c:minorTickMark val="none"/>
        <c:tickLblPos val="nextTo"/>
        <c:crossAx val="47417600"/>
        <c:crosses val="autoZero"/>
        <c:auto val="1"/>
        <c:lblAlgn val="ctr"/>
        <c:lblOffset val="100"/>
        <c:noMultiLvlLbl val="0"/>
      </c:catAx>
      <c:valAx>
        <c:axId val="47417600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4741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[SME_Portfolio_Risk_Dashboard_v1.xlsx]Dashboard Github!PivotTable2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Risk Category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'Dashboard Github'!$B$62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'Dashboard Github'!$A$63:$A$66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'Dashboard Github'!$B$63:$B$66</c:f>
              <c:numCache>
                <c:formatCode>0.00%</c:formatCode>
                <c:ptCount val="3"/>
                <c:pt idx="0">
                  <c:v>6.635974015881145E-2</c:v>
                </c:pt>
                <c:pt idx="1">
                  <c:v>0.85293637016941082</c:v>
                </c:pt>
                <c:pt idx="2">
                  <c:v>8.070388967177769E-2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Borrower Exposure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Github'!$B$121</c:f>
              <c:strCache>
                <c:ptCount val="1"/>
                <c:pt idx="0">
                  <c:v>Outstanding</c:v>
                </c:pt>
              </c:strCache>
            </c:strRef>
          </c:tx>
          <c:invertIfNegative val="0"/>
          <c:cat>
            <c:strRef>
              <c:f>'Dashboard Github'!$A$122:$A$131</c:f>
              <c:strCache>
                <c:ptCount val="10"/>
                <c:pt idx="0">
                  <c:v>CUST0005</c:v>
                </c:pt>
                <c:pt idx="1">
                  <c:v>CUST0182</c:v>
                </c:pt>
                <c:pt idx="2">
                  <c:v>CUST0051</c:v>
                </c:pt>
                <c:pt idx="3">
                  <c:v>CUST0175</c:v>
                </c:pt>
                <c:pt idx="4">
                  <c:v>CUST0086</c:v>
                </c:pt>
                <c:pt idx="5">
                  <c:v>CUST0048</c:v>
                </c:pt>
                <c:pt idx="6">
                  <c:v>CUST0192</c:v>
                </c:pt>
                <c:pt idx="7">
                  <c:v>CUST0138</c:v>
                </c:pt>
                <c:pt idx="8">
                  <c:v>CUST0130</c:v>
                </c:pt>
                <c:pt idx="9">
                  <c:v>CUST0150</c:v>
                </c:pt>
              </c:strCache>
            </c:strRef>
          </c:cat>
          <c:val>
            <c:numRef>
              <c:f>'Dashboard Github'!$B$122:$B$131</c:f>
              <c:numCache>
                <c:formatCode>General</c:formatCode>
                <c:ptCount val="10"/>
                <c:pt idx="0">
                  <c:v>13622740</c:v>
                </c:pt>
                <c:pt idx="1">
                  <c:v>13458128</c:v>
                </c:pt>
                <c:pt idx="2">
                  <c:v>12775969</c:v>
                </c:pt>
                <c:pt idx="3">
                  <c:v>12758386</c:v>
                </c:pt>
                <c:pt idx="4">
                  <c:v>12710230</c:v>
                </c:pt>
                <c:pt idx="5">
                  <c:v>12656250</c:v>
                </c:pt>
                <c:pt idx="6">
                  <c:v>12511334</c:v>
                </c:pt>
                <c:pt idx="7">
                  <c:v>12331650</c:v>
                </c:pt>
                <c:pt idx="8">
                  <c:v>12283540</c:v>
                </c:pt>
                <c:pt idx="9">
                  <c:v>12267228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95328"/>
        <c:axId val="52198016"/>
        <c:axId val="0"/>
      </c:bar3DChart>
      <c:catAx>
        <c:axId val="52195328"/>
        <c:scaling>
          <c:orientation val="maxMin"/>
        </c:scaling>
        <c:delete val="0"/>
        <c:axPos val="l"/>
        <c:majorTickMark val="out"/>
        <c:minorTickMark val="none"/>
        <c:tickLblPos val="nextTo"/>
        <c:crossAx val="52198016"/>
        <c:crosses val="autoZero"/>
        <c:auto val="1"/>
        <c:lblAlgn val="ctr"/>
        <c:lblOffset val="100"/>
        <c:noMultiLvlLbl val="0"/>
      </c:catAx>
      <c:valAx>
        <c:axId val="52198016"/>
        <c:scaling>
          <c:orientation val="minMax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521953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Branch Wise Exposure Distribution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1'!$B$8</c:f>
              <c:strCache>
                <c:ptCount val="1"/>
                <c:pt idx="0">
                  <c:v>Exposure</c:v>
                </c:pt>
              </c:strCache>
            </c:strRef>
          </c:tx>
          <c:spPr>
            <a:ln>
              <a:noFill/>
            </a:ln>
          </c:spPr>
          <c:invertIfNegative val="0"/>
          <c:cat>
            <c:strRef>
              <c:f>'Dashboard 1'!$A$9:$A$12</c:f>
              <c:strCache>
                <c:ptCount val="4"/>
                <c:pt idx="0">
                  <c:v>Bangalore_South</c:v>
                </c:pt>
                <c:pt idx="1">
                  <c:v>Kolkata_East</c:v>
                </c:pt>
                <c:pt idx="2">
                  <c:v>Mumbai_Central</c:v>
                </c:pt>
                <c:pt idx="3">
                  <c:v>Delhi_North</c:v>
                </c:pt>
              </c:strCache>
            </c:strRef>
          </c:cat>
          <c:val>
            <c:numRef>
              <c:f>'Dashboard 1'!$B$9:$B$12</c:f>
              <c:numCache>
                <c:formatCode>General</c:formatCode>
                <c:ptCount val="4"/>
                <c:pt idx="0">
                  <c:v>371162795</c:v>
                </c:pt>
                <c:pt idx="1">
                  <c:v>535687904</c:v>
                </c:pt>
                <c:pt idx="2">
                  <c:v>569128135</c:v>
                </c:pt>
                <c:pt idx="3">
                  <c:v>586681066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060608"/>
        <c:axId val="103062144"/>
        <c:axId val="0"/>
      </c:bar3DChart>
      <c:catAx>
        <c:axId val="103060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03062144"/>
        <c:crosses val="autoZero"/>
        <c:auto val="1"/>
        <c:lblAlgn val="ctr"/>
        <c:lblOffset val="100"/>
        <c:noMultiLvlLbl val="0"/>
      </c:catAx>
      <c:valAx>
        <c:axId val="103062144"/>
        <c:scaling>
          <c:orientation val="minMax"/>
        </c:scaling>
        <c:delete val="0"/>
        <c:axPos val="l"/>
        <c:majorGridlines/>
        <c:numFmt formatCode="#,##0_);\(#,##0\)" sourceLinked="0"/>
        <c:majorTickMark val="out"/>
        <c:minorTickMark val="none"/>
        <c:tickLblPos val="nextTo"/>
        <c:crossAx val="103060608"/>
        <c:crosses val="autoZero"/>
        <c:crossBetween val="between"/>
        <c:dispUnits>
          <c:builtInUnit val="millions"/>
          <c:dispUnitsLbl>
            <c:layout/>
          </c:dispUnitsLbl>
        </c:dispUnits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Branch Wise NPA</a:t>
            </a:r>
            <a:r>
              <a:rPr lang="en-IN" baseline="0"/>
              <a:t> Ratio</a:t>
            </a:r>
            <a:endParaRPr lang="en-IN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1'!$B$28</c:f>
              <c:strCache>
                <c:ptCount val="1"/>
                <c:pt idx="0">
                  <c:v>NPA%</c:v>
                </c:pt>
              </c:strCache>
            </c:strRef>
          </c:tx>
          <c:invertIfNegative val="0"/>
          <c:cat>
            <c:strRef>
              <c:f>'Dashboard 1'!$A$29:$A$32</c:f>
              <c:strCache>
                <c:ptCount val="4"/>
                <c:pt idx="0">
                  <c:v>Kolkata_East</c:v>
                </c:pt>
                <c:pt idx="1">
                  <c:v>Mumbai_Central</c:v>
                </c:pt>
                <c:pt idx="2">
                  <c:v>Bangalore_South</c:v>
                </c:pt>
                <c:pt idx="3">
                  <c:v>Delhi_North</c:v>
                </c:pt>
              </c:strCache>
            </c:strRef>
          </c:cat>
          <c:val>
            <c:numRef>
              <c:f>'Dashboard 1'!$B$29:$B$32</c:f>
              <c:numCache>
                <c:formatCode>General</c:formatCode>
                <c:ptCount val="4"/>
                <c:pt idx="0">
                  <c:v>8.7514882546237224E-2</c:v>
                </c:pt>
                <c:pt idx="1">
                  <c:v>2.7366817843226112E-2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3083392"/>
        <c:axId val="104350848"/>
        <c:axId val="0"/>
      </c:bar3DChart>
      <c:catAx>
        <c:axId val="103083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04350848"/>
        <c:crosses val="autoZero"/>
        <c:auto val="1"/>
        <c:lblAlgn val="ctr"/>
        <c:lblOffset val="100"/>
        <c:noMultiLvlLbl val="0"/>
      </c:catAx>
      <c:valAx>
        <c:axId val="104350848"/>
        <c:scaling>
          <c:orientation val="minMax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103083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[SME_Portfolio_Risk_Dashboard_v1.xlsx]Dashboard 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Sector</a:t>
            </a:r>
            <a:r>
              <a:rPr lang="en-IN" baseline="0"/>
              <a:t> Wise Exposure Distribution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1'!$B$47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'Dashboard 1'!$A$48:$A$52</c:f>
              <c:strCache>
                <c:ptCount val="4"/>
                <c:pt idx="0">
                  <c:v>Others</c:v>
                </c:pt>
                <c:pt idx="1">
                  <c:v>Services</c:v>
                </c:pt>
                <c:pt idx="2">
                  <c:v>Trading</c:v>
                </c:pt>
                <c:pt idx="3">
                  <c:v>Manufacturing</c:v>
                </c:pt>
              </c:strCache>
            </c:strRef>
          </c:cat>
          <c:val>
            <c:numRef>
              <c:f>'Dashboard 1'!$B$48:$B$52</c:f>
              <c:numCache>
                <c:formatCode>0.00%</c:formatCode>
                <c:ptCount val="4"/>
                <c:pt idx="0">
                  <c:v>0.22550208834718705</c:v>
                </c:pt>
                <c:pt idx="1">
                  <c:v>0.2374558200312131</c:v>
                </c:pt>
                <c:pt idx="2">
                  <c:v>0.26358940317790636</c:v>
                </c:pt>
                <c:pt idx="3">
                  <c:v>0.27345268844369353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372480"/>
        <c:axId val="104378368"/>
        <c:axId val="0"/>
      </c:bar3DChart>
      <c:catAx>
        <c:axId val="104372480"/>
        <c:scaling>
          <c:orientation val="minMax"/>
        </c:scaling>
        <c:delete val="0"/>
        <c:axPos val="l"/>
        <c:majorTickMark val="out"/>
        <c:minorTickMark val="none"/>
        <c:tickLblPos val="nextTo"/>
        <c:crossAx val="104378368"/>
        <c:crosses val="autoZero"/>
        <c:auto val="1"/>
        <c:lblAlgn val="ctr"/>
        <c:lblOffset val="100"/>
        <c:noMultiLvlLbl val="0"/>
      </c:catAx>
      <c:valAx>
        <c:axId val="104378368"/>
        <c:scaling>
          <c:orientation val="minMax"/>
        </c:scaling>
        <c:delete val="0"/>
        <c:axPos val="b"/>
        <c:majorGridlines/>
        <c:numFmt formatCode="0.00%" sourceLinked="1"/>
        <c:majorTickMark val="out"/>
        <c:minorTickMark val="none"/>
        <c:tickLblPos val="nextTo"/>
        <c:crossAx val="104372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[SME_Portfolio_Risk_Dashboard_v1.xlsx]Dashboard 1!PivotTable2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Risk Category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'Dashboard 1'!$B$62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'Dashboard 1'!$A$63:$A$66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'Dashboard 1'!$B$63:$B$66</c:f>
              <c:numCache>
                <c:formatCode>0.00%</c:formatCode>
                <c:ptCount val="3"/>
                <c:pt idx="0">
                  <c:v>6.635974015881145E-2</c:v>
                </c:pt>
                <c:pt idx="1">
                  <c:v>0.85293637016941082</c:v>
                </c:pt>
                <c:pt idx="2">
                  <c:v>8.070388967177769E-2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4</xdr:row>
      <xdr:rowOff>95250</xdr:rowOff>
    </xdr:from>
    <xdr:to>
      <xdr:col>12</xdr:col>
      <xdr:colOff>576262</xdr:colOff>
      <xdr:row>18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223837</xdr:colOff>
      <xdr:row>19</xdr:row>
      <xdr:rowOff>95250</xdr:rowOff>
    </xdr:from>
    <xdr:to>
      <xdr:col>12</xdr:col>
      <xdr:colOff>528637</xdr:colOff>
      <xdr:row>33</xdr:row>
      <xdr:rowOff>171450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381000</xdr:colOff>
      <xdr:row>38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4981575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257175</xdr:colOff>
      <xdr:row>36</xdr:row>
      <xdr:rowOff>133350</xdr:rowOff>
    </xdr:from>
    <xdr:ext cx="3695700" cy="436786"/>
    <xdr:sp macro="" textlink="">
      <xdr:nvSpPr>
        <xdr:cNvPr id="5" name="TextBox 4"/>
        <xdr:cNvSpPr txBox="1"/>
      </xdr:nvSpPr>
      <xdr:spPr>
        <a:xfrm>
          <a:off x="4857750" y="6991350"/>
          <a:ext cx="36957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* Delhi contributes highest exposure</a:t>
          </a:r>
          <a:r>
            <a:rPr lang="en-IN" sz="1100" baseline="0"/>
            <a:t> share,indicating portfolio risk concentration.</a:t>
          </a:r>
          <a:endParaRPr lang="en-IN" sz="1100"/>
        </a:p>
      </xdr:txBody>
    </xdr:sp>
    <xdr:clientData/>
  </xdr:oneCellAnchor>
  <xdr:oneCellAnchor>
    <xdr:from>
      <xdr:col>6</xdr:col>
      <xdr:colOff>285750</xdr:colOff>
      <xdr:row>40</xdr:row>
      <xdr:rowOff>76200</xdr:rowOff>
    </xdr:from>
    <xdr:ext cx="3190876" cy="436786"/>
    <xdr:sp macro="" textlink="">
      <xdr:nvSpPr>
        <xdr:cNvPr id="6" name="TextBox 5"/>
        <xdr:cNvSpPr txBox="1"/>
      </xdr:nvSpPr>
      <xdr:spPr>
        <a:xfrm>
          <a:off x="4886325" y="7696200"/>
          <a:ext cx="31908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* Kolkata Exhibits highest NPA%, requiring</a:t>
          </a:r>
          <a:r>
            <a:rPr lang="en-IN" sz="1100" baseline="0"/>
            <a:t> focused monitoring and recovery action.</a:t>
          </a:r>
          <a:endParaRPr lang="en-IN" sz="1100"/>
        </a:p>
      </xdr:txBody>
    </xdr:sp>
    <xdr:clientData/>
  </xdr:oneCellAnchor>
  <xdr:twoCellAnchor>
    <xdr:from>
      <xdr:col>5</xdr:col>
      <xdr:colOff>90487</xdr:colOff>
      <xdr:row>43</xdr:row>
      <xdr:rowOff>142875</xdr:rowOff>
    </xdr:from>
    <xdr:to>
      <xdr:col>12</xdr:col>
      <xdr:colOff>395287</xdr:colOff>
      <xdr:row>58</xdr:row>
      <xdr:rowOff>28575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104775</xdr:colOff>
      <xdr:row>59</xdr:row>
      <xdr:rowOff>38100</xdr:rowOff>
    </xdr:from>
    <xdr:to>
      <xdr:col>12</xdr:col>
      <xdr:colOff>500062</xdr:colOff>
      <xdr:row>73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438150</xdr:colOff>
      <xdr:row>75</xdr:row>
      <xdr:rowOff>114299</xdr:rowOff>
    </xdr:from>
    <xdr:ext cx="11287125" cy="3724275"/>
    <xdr:sp macro="" textlink="">
      <xdr:nvSpPr>
        <xdr:cNvPr id="9" name="TextBox 8"/>
        <xdr:cNvSpPr txBox="1"/>
      </xdr:nvSpPr>
      <xdr:spPr>
        <a:xfrm>
          <a:off x="438150" y="14401799"/>
          <a:ext cx="11287125" cy="3724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1️⃣ Portfolio Quality</a:t>
          </a:r>
        </a:p>
        <a:p>
          <a:endParaRPr lang="en-IN" sz="1400" b="1"/>
        </a:p>
        <a:p>
          <a:r>
            <a:rPr lang="en-IN" sz="1400"/>
            <a:t>a. Total SME exposure stands at ₹</a:t>
          </a:r>
          <a:r>
            <a:rPr lang="en-IN" sz="1400" baseline="0"/>
            <a:t> 2062659900 </a:t>
          </a:r>
          <a:r>
            <a:rPr lang="en-IN" sz="1400"/>
            <a:t>.</a:t>
          </a:r>
        </a:p>
        <a:p>
          <a:r>
            <a:rPr lang="en-IN" sz="1400"/>
            <a:t>b. Gross NPA at ~3.03% indicates stable asset performance.</a:t>
          </a:r>
        </a:p>
        <a:p>
          <a:r>
            <a:rPr lang="en-IN" sz="1400"/>
            <a:t>c. High-risk exposure at ~6.64% reflects controlled stress levels.</a:t>
          </a:r>
        </a:p>
        <a:p>
          <a:endParaRPr lang="en-IN" sz="1400"/>
        </a:p>
        <a:p>
          <a:r>
            <a:rPr lang="en-IN" sz="1400" b="1"/>
            <a:t>2️⃣ Concentration Risk</a:t>
          </a:r>
        </a:p>
        <a:p>
          <a:endParaRPr lang="en-IN" sz="1400" b="1"/>
        </a:p>
        <a:p>
          <a:r>
            <a:rPr lang="en-IN" sz="1400"/>
            <a:t>a. Delhi branch contributes the highest share of portfolio exposure, creating concentration dependency.</a:t>
          </a:r>
        </a:p>
        <a:p>
          <a:r>
            <a:rPr lang="en-IN" sz="1400"/>
            <a:t>b. Sector exposure is moderately concentrated in Manufacturing, though within acceptable diversification limits.</a:t>
          </a:r>
        </a:p>
        <a:p>
          <a:endParaRPr lang="en-IN" sz="1400"/>
        </a:p>
        <a:p>
          <a:r>
            <a:rPr lang="en-IN" sz="1400" b="1"/>
            <a:t>3️⃣ Asset Quality Focus</a:t>
          </a:r>
        </a:p>
        <a:p>
          <a:endParaRPr lang="en-IN" sz="1400" b="1"/>
        </a:p>
        <a:p>
          <a:r>
            <a:rPr lang="en-IN" sz="1400"/>
            <a:t>a. Kolkata branch exhibits the highest NPA ratio among branches.</a:t>
          </a:r>
        </a:p>
        <a:p>
          <a:r>
            <a:rPr lang="en-IN" sz="1400"/>
            <a:t>b. Focused monitoring and recovery strategy recommended for this geography</a:t>
          </a:r>
        </a:p>
        <a:p>
          <a:endParaRPr lang="en-IN" sz="1400" b="1"/>
        </a:p>
      </xdr:txBody>
    </xdr:sp>
    <xdr:clientData/>
  </xdr:oneCellAnchor>
  <xdr:twoCellAnchor>
    <xdr:from>
      <xdr:col>4</xdr:col>
      <xdr:colOff>442912</xdr:colOff>
      <xdr:row>117</xdr:row>
      <xdr:rowOff>142875</xdr:rowOff>
    </xdr:from>
    <xdr:to>
      <xdr:col>10</xdr:col>
      <xdr:colOff>490537</xdr:colOff>
      <xdr:row>132</xdr:row>
      <xdr:rowOff>28575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271462</xdr:colOff>
      <xdr:row>4</xdr:row>
      <xdr:rowOff>95250</xdr:rowOff>
    </xdr:from>
    <xdr:to>
      <xdr:col>12</xdr:col>
      <xdr:colOff>576262</xdr:colOff>
      <xdr:row>18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223837</xdr:colOff>
      <xdr:row>19</xdr:row>
      <xdr:rowOff>95250</xdr:rowOff>
    </xdr:from>
    <xdr:to>
      <xdr:col>12</xdr:col>
      <xdr:colOff>528637</xdr:colOff>
      <xdr:row>33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381000</xdr:colOff>
      <xdr:row>38</xdr:row>
      <xdr:rowOff>76200</xdr:rowOff>
    </xdr:from>
    <xdr:ext cx="184731" cy="264560"/>
    <xdr:sp macro="" textlink="">
      <xdr:nvSpPr>
        <xdr:cNvPr id="7" name="TextBox 6"/>
        <xdr:cNvSpPr txBox="1"/>
      </xdr:nvSpPr>
      <xdr:spPr>
        <a:xfrm>
          <a:off x="464820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6</xdr:col>
      <xdr:colOff>257175</xdr:colOff>
      <xdr:row>36</xdr:row>
      <xdr:rowOff>133350</xdr:rowOff>
    </xdr:from>
    <xdr:ext cx="3695700" cy="436786"/>
    <xdr:sp macro="" textlink="">
      <xdr:nvSpPr>
        <xdr:cNvPr id="8" name="TextBox 7"/>
        <xdr:cNvSpPr txBox="1"/>
      </xdr:nvSpPr>
      <xdr:spPr>
        <a:xfrm>
          <a:off x="4524375" y="6991350"/>
          <a:ext cx="36957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* Delhi contributes highest exposure</a:t>
          </a:r>
          <a:r>
            <a:rPr lang="en-IN" sz="1100" baseline="0"/>
            <a:t> share,indicating portfolio risk concentration.</a:t>
          </a:r>
          <a:endParaRPr lang="en-IN" sz="1100"/>
        </a:p>
      </xdr:txBody>
    </xdr:sp>
    <xdr:clientData/>
  </xdr:oneCellAnchor>
  <xdr:oneCellAnchor>
    <xdr:from>
      <xdr:col>6</xdr:col>
      <xdr:colOff>285750</xdr:colOff>
      <xdr:row>40</xdr:row>
      <xdr:rowOff>76200</xdr:rowOff>
    </xdr:from>
    <xdr:ext cx="3190876" cy="436786"/>
    <xdr:sp macro="" textlink="">
      <xdr:nvSpPr>
        <xdr:cNvPr id="9" name="TextBox 8"/>
        <xdr:cNvSpPr txBox="1"/>
      </xdr:nvSpPr>
      <xdr:spPr>
        <a:xfrm>
          <a:off x="4552950" y="7696200"/>
          <a:ext cx="319087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/>
            <a:t>* Kolkata Exhibits highest NPA%, requiring</a:t>
          </a:r>
          <a:r>
            <a:rPr lang="en-IN" sz="1100" baseline="0"/>
            <a:t> focused monitoring and recovery action.</a:t>
          </a:r>
          <a:endParaRPr lang="en-IN" sz="1100"/>
        </a:p>
      </xdr:txBody>
    </xdr:sp>
    <xdr:clientData/>
  </xdr:oneCellAnchor>
  <xdr:twoCellAnchor>
    <xdr:from>
      <xdr:col>5</xdr:col>
      <xdr:colOff>90487</xdr:colOff>
      <xdr:row>43</xdr:row>
      <xdr:rowOff>142875</xdr:rowOff>
    </xdr:from>
    <xdr:to>
      <xdr:col>12</xdr:col>
      <xdr:colOff>395287</xdr:colOff>
      <xdr:row>58</xdr:row>
      <xdr:rowOff>28575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104775</xdr:colOff>
      <xdr:row>59</xdr:row>
      <xdr:rowOff>38100</xdr:rowOff>
    </xdr:from>
    <xdr:to>
      <xdr:col>12</xdr:col>
      <xdr:colOff>500062</xdr:colOff>
      <xdr:row>73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438150</xdr:colOff>
      <xdr:row>75</xdr:row>
      <xdr:rowOff>114299</xdr:rowOff>
    </xdr:from>
    <xdr:ext cx="11287125" cy="3724275"/>
    <xdr:sp macro="" textlink="">
      <xdr:nvSpPr>
        <xdr:cNvPr id="12" name="TextBox 11"/>
        <xdr:cNvSpPr txBox="1"/>
      </xdr:nvSpPr>
      <xdr:spPr>
        <a:xfrm>
          <a:off x="438150" y="14401799"/>
          <a:ext cx="11287125" cy="3724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1️⃣ Portfolio Quality</a:t>
          </a:r>
        </a:p>
        <a:p>
          <a:endParaRPr lang="en-IN" sz="1400" b="1"/>
        </a:p>
        <a:p>
          <a:r>
            <a:rPr lang="en-IN" sz="1400"/>
            <a:t>a. Total SME exposure stands at ₹</a:t>
          </a:r>
          <a:r>
            <a:rPr lang="en-IN" sz="1400" baseline="0"/>
            <a:t> 2062659900 </a:t>
          </a:r>
          <a:r>
            <a:rPr lang="en-IN" sz="1400"/>
            <a:t>.</a:t>
          </a:r>
        </a:p>
        <a:p>
          <a:r>
            <a:rPr lang="en-IN" sz="1400"/>
            <a:t>b. Gross NPA at ~3.03% indicates stable asset performance.</a:t>
          </a:r>
        </a:p>
        <a:p>
          <a:r>
            <a:rPr lang="en-IN" sz="1400"/>
            <a:t>c. High-risk exposure at ~6.64% reflects controlled stress levels.</a:t>
          </a:r>
        </a:p>
        <a:p>
          <a:endParaRPr lang="en-IN" sz="1400"/>
        </a:p>
        <a:p>
          <a:r>
            <a:rPr lang="en-IN" sz="1400" b="1"/>
            <a:t>2️⃣ Concentration Risk</a:t>
          </a:r>
        </a:p>
        <a:p>
          <a:endParaRPr lang="en-IN" sz="1400" b="1"/>
        </a:p>
        <a:p>
          <a:r>
            <a:rPr lang="en-IN" sz="1400"/>
            <a:t>a. Delhi branch contributes the highest share of portfolio exposure, creating concentration dependency.</a:t>
          </a:r>
        </a:p>
        <a:p>
          <a:r>
            <a:rPr lang="en-IN" sz="1400"/>
            <a:t>b. Sector exposure is moderately concentrated in Manufacturing, though within acceptable diversification limits.</a:t>
          </a:r>
        </a:p>
        <a:p>
          <a:endParaRPr lang="en-IN" sz="1400"/>
        </a:p>
        <a:p>
          <a:r>
            <a:rPr lang="en-IN" sz="1400" b="1"/>
            <a:t>3️⃣ Asset Quality Focus</a:t>
          </a:r>
        </a:p>
        <a:p>
          <a:endParaRPr lang="en-IN" sz="1400" b="1"/>
        </a:p>
        <a:p>
          <a:r>
            <a:rPr lang="en-IN" sz="1400"/>
            <a:t>a. Kolkata branch exhibits the highest NPA ratio among branches.</a:t>
          </a:r>
        </a:p>
        <a:p>
          <a:r>
            <a:rPr lang="en-IN" sz="1400"/>
            <a:t>b. Focused monitoring and recovery strategy recommended for this geography</a:t>
          </a:r>
        </a:p>
        <a:p>
          <a:endParaRPr lang="en-IN" sz="14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HA SINGHAL" refreshedDate="46061.981825347226" createdVersion="4" refreshedVersion="4" minRefreshableVersion="3" recordCount="300">
  <cacheSource type="worksheet">
    <worksheetSource name="Table1"/>
  </cacheSource>
  <cacheFields count="25">
    <cacheField name="Loan_ID" numFmtId="0">
      <sharedItems/>
    </cacheField>
    <cacheField name="Customer_ID" numFmtId="0">
      <sharedItems/>
    </cacheField>
    <cacheField name="Branch" numFmtId="0">
      <sharedItems count="4">
        <s v="Mumbai_Central"/>
        <s v="Kolkata_East"/>
        <s v="Bangalore_South"/>
        <s v="Delhi_North"/>
      </sharedItems>
    </cacheField>
    <cacheField name="Region" numFmtId="0">
      <sharedItems/>
    </cacheField>
    <cacheField name="Relationship_Manager" numFmtId="0">
      <sharedItems/>
    </cacheField>
    <cacheField name="Product_Type" numFmtId="0">
      <sharedItems/>
    </cacheField>
    <cacheField name="Sanction_Amount" numFmtId="0">
      <sharedItems containsSemiMixedTypes="0" containsString="0" containsNumber="1" containsInteger="1" minValue="2138144" maxValue="14944621"/>
    </cacheField>
    <cacheField name="Outstanding_Amount" numFmtId="0">
      <sharedItems containsSemiMixedTypes="0" containsString="0" containsNumber="1" containsInteger="1" minValue="1385194" maxValue="13622740" count="300">
        <n v="8242631"/>
        <n v="4285675"/>
        <n v="7862541"/>
        <n v="5628480"/>
        <n v="5906571"/>
        <n v="4604634"/>
        <n v="2707114"/>
        <n v="4661863"/>
        <n v="9375901"/>
        <n v="6740846"/>
        <n v="2877445"/>
        <n v="5473652"/>
        <n v="8682066"/>
        <n v="9733036"/>
        <n v="9999272"/>
        <n v="3130835"/>
        <n v="9274526"/>
        <n v="4374357"/>
        <n v="7154709"/>
        <n v="9147099"/>
        <n v="5705620"/>
        <n v="4182766"/>
        <n v="8497945"/>
        <n v="2163951"/>
        <n v="7074521"/>
        <n v="11734480"/>
        <n v="3601356"/>
        <n v="7743878"/>
        <n v="8757111"/>
        <n v="6083220"/>
        <n v="7566549"/>
        <n v="8616141"/>
        <n v="8999889"/>
        <n v="5611322"/>
        <n v="3874101"/>
        <n v="9193121"/>
        <n v="5877816"/>
        <n v="9084979"/>
        <n v="9698956"/>
        <n v="11313364"/>
        <n v="7395227"/>
        <n v="6312507"/>
        <n v="4937706"/>
        <n v="2016474"/>
        <n v="3111936"/>
        <n v="6698127"/>
        <n v="1599007"/>
        <n v="2255342"/>
        <n v="11325708"/>
        <n v="8644319"/>
        <n v="12267228"/>
        <n v="4247230"/>
        <n v="6879796"/>
        <n v="5192798"/>
        <n v="10029689"/>
        <n v="4299367"/>
        <n v="5861488"/>
        <n v="8290533"/>
        <n v="5791783"/>
        <n v="3550695"/>
        <n v="8954857"/>
        <n v="4630566"/>
        <n v="5697160"/>
        <n v="11222297"/>
        <n v="2832123"/>
        <n v="2135036"/>
        <n v="2597789"/>
        <n v="7915269"/>
        <n v="2279105"/>
        <n v="7989407"/>
        <n v="12103665"/>
        <n v="6932120"/>
        <n v="1818209"/>
        <n v="13622740"/>
        <n v="4485559"/>
        <n v="8840809"/>
        <n v="10499966"/>
        <n v="5680995"/>
        <n v="9687172"/>
        <n v="2219174"/>
        <n v="8881602"/>
        <n v="5236266"/>
        <n v="11054208"/>
        <n v="7630668"/>
        <n v="9965254"/>
        <n v="4456154"/>
        <n v="2161878"/>
        <n v="7802017"/>
        <n v="4428262"/>
        <n v="12758386"/>
        <n v="12331650"/>
        <n v="11708652"/>
        <n v="3947512"/>
        <n v="2362449"/>
        <n v="4468104"/>
        <n v="1816171"/>
        <n v="7774118"/>
        <n v="4276076"/>
        <n v="12511334"/>
        <n v="8662704"/>
        <n v="9420212"/>
        <n v="9945746"/>
        <n v="4037414"/>
        <n v="10275951"/>
        <n v="7205698"/>
        <n v="7996975"/>
        <n v="10707855"/>
        <n v="2623667"/>
        <n v="7377767"/>
        <n v="1547437"/>
        <n v="3375048"/>
        <n v="10991462"/>
        <n v="3610382"/>
        <n v="2138252"/>
        <n v="10848699"/>
        <n v="2828562"/>
        <n v="9898810"/>
        <n v="10701587"/>
        <n v="7243318"/>
        <n v="6696540"/>
        <n v="6347044"/>
        <n v="8863505"/>
        <n v="7043385"/>
        <n v="9264361"/>
        <n v="8848079"/>
        <n v="5093371"/>
        <n v="12775969"/>
        <n v="5149218"/>
        <n v="2476796"/>
        <n v="11188153"/>
        <n v="6415109"/>
        <n v="6189336"/>
        <n v="6713210"/>
        <n v="5493821"/>
        <n v="4003432"/>
        <n v="9015315"/>
        <n v="8702551"/>
        <n v="4235512"/>
        <n v="8518334"/>
        <n v="10582695"/>
        <n v="8258450"/>
        <n v="9266047"/>
        <n v="10095895"/>
        <n v="2108960"/>
        <n v="4817989"/>
        <n v="5376742"/>
        <n v="10984365"/>
        <n v="4339249"/>
        <n v="4715821"/>
        <n v="6255011"/>
        <n v="2327627"/>
        <n v="4515563"/>
        <n v="2890019"/>
        <n v="1463307"/>
        <n v="2050233"/>
        <n v="9379614"/>
        <n v="3186423"/>
        <n v="6956060"/>
        <n v="4733886"/>
        <n v="9963904"/>
        <n v="4547062"/>
        <n v="8125340"/>
        <n v="2593538"/>
        <n v="5654992"/>
        <n v="10533624"/>
        <n v="7221363"/>
        <n v="9137531"/>
        <n v="10957827"/>
        <n v="10051453"/>
        <n v="1385194"/>
        <n v="5289339"/>
        <n v="4542352"/>
        <n v="4675839"/>
        <n v="9504923"/>
        <n v="2754083"/>
        <n v="9144799"/>
        <n v="9128412"/>
        <n v="12257008"/>
        <n v="1699937"/>
        <n v="8930344"/>
        <n v="4179817"/>
        <n v="9517045"/>
        <n v="3962824"/>
        <n v="6631231"/>
        <n v="6992952"/>
        <n v="1734029"/>
        <n v="9664989"/>
        <n v="3926718"/>
        <n v="10230121"/>
        <n v="4540620"/>
        <n v="8538208"/>
        <n v="6838599"/>
        <n v="12656250"/>
        <n v="3911910"/>
        <n v="1547020"/>
        <n v="5743885"/>
        <n v="5598068"/>
        <n v="2987356"/>
        <n v="3547733"/>
        <n v="9357879"/>
        <n v="6271015"/>
        <n v="5534595"/>
        <n v="9343489"/>
        <n v="4084359"/>
        <n v="11198732"/>
        <n v="11914536"/>
        <n v="10814298"/>
        <n v="9118751"/>
        <n v="5716676"/>
        <n v="4154213"/>
        <n v="2800394"/>
        <n v="10436083"/>
        <n v="3882298"/>
        <n v="9174360"/>
        <n v="3884816"/>
        <n v="12228774"/>
        <n v="5978424"/>
        <n v="8068060"/>
        <n v="10766213"/>
        <n v="6104755"/>
        <n v="7313464"/>
        <n v="9172377"/>
        <n v="8008012"/>
        <n v="3232695"/>
        <n v="8068250"/>
        <n v="8867093"/>
        <n v="2089135"/>
        <n v="4271513"/>
        <n v="12007975"/>
        <n v="5458280"/>
        <n v="9707582"/>
        <n v="5821758"/>
        <n v="6553850"/>
        <n v="3260270"/>
        <n v="5859212"/>
        <n v="9230552"/>
        <n v="10581613"/>
        <n v="3693856"/>
        <n v="9757829"/>
        <n v="6095890"/>
        <n v="10471275"/>
        <n v="8699274"/>
        <n v="9302039"/>
        <n v="8719133"/>
        <n v="7141132"/>
        <n v="9111668"/>
        <n v="9298173"/>
        <n v="6041191"/>
        <n v="4357665"/>
        <n v="7538818"/>
        <n v="13458128"/>
        <n v="8598089"/>
        <n v="8878339"/>
        <n v="12195469"/>
        <n v="9133878"/>
        <n v="1670353"/>
        <n v="9728095"/>
        <n v="12710230"/>
        <n v="9043130"/>
        <n v="7727418"/>
        <n v="8156617"/>
        <n v="7618934"/>
        <n v="1925727"/>
        <n v="9315097"/>
        <n v="2171282"/>
        <n v="11882024"/>
        <n v="5525269"/>
        <n v="8642094"/>
        <n v="6823325"/>
        <n v="4669150"/>
        <n v="9827940"/>
        <n v="7536988"/>
        <n v="4190347"/>
        <n v="8628597"/>
        <n v="3528936"/>
        <n v="5452052"/>
        <n v="8984962"/>
        <n v="11171808"/>
        <n v="4970593"/>
        <n v="5016090"/>
        <n v="5801894"/>
        <n v="3884650"/>
        <n v="11073333"/>
        <n v="2830585"/>
        <n v="7102738"/>
        <n v="8193512"/>
        <n v="7452003"/>
        <n v="4788984"/>
        <n v="8698898"/>
        <n v="6846679"/>
        <n v="5614247"/>
        <n v="9547994"/>
        <n v="4398761"/>
        <n v="5422998"/>
        <n v="12283540"/>
        <n v="3045684"/>
        <n v="7433783"/>
        <n v="3675554"/>
        <n v="8975538"/>
        <n v="2554410"/>
      </sharedItems>
    </cacheField>
    <cacheField name="Undrawn_Limit" numFmtId="0">
      <sharedItems containsSemiMixedTypes="0" containsString="0" containsNumber="1" containsInteger="1" minValue="188988" maxValue="5643613"/>
    </cacheField>
    <cacheField name="Limit_Utilization_%" numFmtId="0">
      <sharedItems containsSemiMixedTypes="0" containsString="0" containsNumber="1" minValue="0.6" maxValue="0.95"/>
    </cacheField>
    <cacheField name="Interest_Rate" numFmtId="0">
      <sharedItems containsSemiMixedTypes="0" containsString="0" containsNumber="1" minValue="9.02" maxValue="14.5"/>
    </cacheField>
    <cacheField name="Days_Past_Due" numFmtId="0">
      <sharedItems containsSemiMixedTypes="0" containsString="0" containsNumber="1" containsInteger="1" minValue="0" maxValue="163"/>
    </cacheField>
    <cacheField name="SMA_Category" numFmtId="0">
      <sharedItems count="4">
        <s v="SMA-0"/>
        <s v="SMA-1"/>
        <s v="NPA"/>
        <s v="SMA-2"/>
      </sharedItems>
    </cacheField>
    <cacheField name="NPA_Flag" numFmtId="0">
      <sharedItems containsSemiMixedTypes="0" containsString="0" containsNumber="1" containsInteger="1" minValue="0" maxValue="1"/>
    </cacheField>
    <cacheField name="Risk_Category" numFmtId="0">
      <sharedItems count="3">
        <s v="Low"/>
        <s v="Medium"/>
        <s v="High"/>
      </sharedItems>
    </cacheField>
    <cacheField name="Restructured_Flag" numFmtId="0">
      <sharedItems containsSemiMixedTypes="0" containsString="0" containsNumber="1" containsInteger="1" minValue="0" maxValue="1"/>
    </cacheField>
    <cacheField name="Bounce_Count_Last_6M" numFmtId="0">
      <sharedItems containsSemiMixedTypes="0" containsString="0" containsNumber="1" containsInteger="1" minValue="0" maxValue="5"/>
    </cacheField>
    <cacheField name="Sector" numFmtId="0">
      <sharedItems count="4">
        <s v="Trading"/>
        <s v="Manufacturing"/>
        <s v="Services"/>
        <s v="Others"/>
      </sharedItems>
    </cacheField>
    <cacheField name="Industry_Subtype" numFmtId="0">
      <sharedItems/>
    </cacheField>
    <cacheField name="Years_in_Business" numFmtId="0">
      <sharedItems containsSemiMixedTypes="0" containsString="0" containsNumber="1" containsInteger="1" minValue="1" maxValue="25"/>
    </cacheField>
    <cacheField name="Annual_Turnover" numFmtId="0">
      <sharedItems containsSemiMixedTypes="0" containsString="0" containsNumber="1" containsInteger="1" minValue="6663423" maxValue="499053837"/>
    </cacheField>
    <cacheField name="Internal_Credit_Rating" numFmtId="0">
      <sharedItems/>
    </cacheField>
    <cacheField name="Sanction_Date" numFmtId="14">
      <sharedItems containsSemiMixedTypes="0" containsNonDate="0" containsDate="1" containsString="0" minDate="2020-01-02T00:00:00" maxDate="2024-02-05T00:00:00"/>
    </cacheField>
    <cacheField name="Disbursement_Date" numFmtId="14">
      <sharedItems containsSemiMixedTypes="0" containsNonDate="0" containsDate="1" containsString="0" minDate="2020-01-06T00:00:00" maxDate="2024-02-10T00:00:00"/>
    </cacheField>
    <cacheField name="Reporting_Month" numFmtId="14">
      <sharedItems containsSemiMixedTypes="0" containsNonDate="0" containsDate="1" containsString="0" minDate="2026-01-31T00:00:00" maxDate="2026-02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s v="LN00001"/>
    <s v="CUST0041"/>
    <x v="0"/>
    <s v="North"/>
    <s v="RM_1"/>
    <s v="OD"/>
    <n v="11030239"/>
    <x v="0"/>
    <n v="2787608"/>
    <n v="0.75"/>
    <n v="11.82"/>
    <n v="14"/>
    <x v="0"/>
    <n v="0"/>
    <x v="0"/>
    <n v="1"/>
    <n v="5"/>
    <x v="0"/>
    <s v="Textile"/>
    <n v="2"/>
    <n v="281379958"/>
    <s v="C"/>
    <d v="2023-02-28T00:00:00"/>
    <d v="2023-03-06T00:00:00"/>
    <d v="2026-01-31T00:00:00"/>
  </r>
  <r>
    <s v="LN00002"/>
    <s v="CUST0166"/>
    <x v="1"/>
    <s v="South"/>
    <s v="RM_6"/>
    <s v="OD"/>
    <n v="5326528"/>
    <x v="1"/>
    <n v="1040853"/>
    <n v="0.8"/>
    <n v="13.9"/>
    <n v="30"/>
    <x v="0"/>
    <n v="0"/>
    <x v="0"/>
    <n v="1"/>
    <n v="4"/>
    <x v="1"/>
    <s v="Textile"/>
    <n v="2"/>
    <n v="141604517"/>
    <s v="C"/>
    <d v="2020-02-24T00:00:00"/>
    <d v="2020-03-02T00:00:00"/>
    <d v="2026-01-31T00:00:00"/>
  </r>
  <r>
    <s v="LN00003"/>
    <s v="CUST0067"/>
    <x v="2"/>
    <s v="North"/>
    <s v="RM_8"/>
    <s v="CC"/>
    <n v="8849837"/>
    <x v="2"/>
    <n v="987296"/>
    <n v="0.89"/>
    <n v="10.91"/>
    <n v="25"/>
    <x v="0"/>
    <n v="0"/>
    <x v="0"/>
    <n v="1"/>
    <n v="2"/>
    <x v="2"/>
    <s v="FMCG"/>
    <n v="16"/>
    <n v="137169334"/>
    <s v="A"/>
    <d v="2022-08-31T00:00:00"/>
    <d v="2022-09-10T00:00:00"/>
    <d v="2026-01-31T00:00:00"/>
  </r>
  <r>
    <s v="LN00004"/>
    <s v="CUST0039"/>
    <x v="2"/>
    <s v="East"/>
    <s v="RM_2"/>
    <s v="Term Loan"/>
    <n v="8582608"/>
    <x v="3"/>
    <n v="2954128"/>
    <n v="0.66"/>
    <n v="12.18"/>
    <n v="56"/>
    <x v="1"/>
    <n v="0"/>
    <x v="1"/>
    <n v="1"/>
    <n v="1"/>
    <x v="2"/>
    <s v="Pharma"/>
    <n v="11"/>
    <n v="399482094"/>
    <s v="D"/>
    <d v="2022-04-28T00:00:00"/>
    <d v="2022-05-04T00:00:00"/>
    <d v="2026-01-31T00:00:00"/>
  </r>
  <r>
    <s v="LN00005"/>
    <s v="CUST0081"/>
    <x v="2"/>
    <s v="West"/>
    <s v="RM_1"/>
    <s v="CC"/>
    <n v="8883596"/>
    <x v="4"/>
    <n v="2977025"/>
    <n v="0.66"/>
    <n v="12.34"/>
    <n v="2"/>
    <x v="0"/>
    <n v="0"/>
    <x v="0"/>
    <n v="0"/>
    <n v="4"/>
    <x v="2"/>
    <s v="Pharma"/>
    <n v="18"/>
    <n v="93885263"/>
    <s v="D"/>
    <d v="2020-05-03T00:00:00"/>
    <d v="2020-05-06T00:00:00"/>
    <d v="2026-01-31T00:00:00"/>
  </r>
  <r>
    <s v="LN00006"/>
    <s v="CUST0080"/>
    <x v="2"/>
    <s v="South"/>
    <s v="RM_2"/>
    <s v="Term Loan"/>
    <n v="5556574"/>
    <x v="5"/>
    <n v="951940"/>
    <n v="0.83"/>
    <n v="11.81"/>
    <n v="26"/>
    <x v="0"/>
    <n v="0"/>
    <x v="0"/>
    <n v="1"/>
    <n v="5"/>
    <x v="1"/>
    <s v="Electronics"/>
    <n v="16"/>
    <n v="367048133"/>
    <s v="B"/>
    <d v="2024-01-17T00:00:00"/>
    <d v="2024-01-25T00:00:00"/>
    <d v="2026-01-31T00:00:00"/>
  </r>
  <r>
    <s v="LN00007"/>
    <s v="CUST0110"/>
    <x v="1"/>
    <s v="North"/>
    <s v="RM_8"/>
    <s v="LAP"/>
    <n v="4412427"/>
    <x v="6"/>
    <n v="1705313"/>
    <n v="0.61"/>
    <n v="9.02"/>
    <n v="146"/>
    <x v="2"/>
    <n v="1"/>
    <x v="2"/>
    <n v="0"/>
    <n v="2"/>
    <x v="2"/>
    <s v="Pharma"/>
    <n v="22"/>
    <n v="135100691"/>
    <s v="C"/>
    <d v="2023-04-17T00:00:00"/>
    <d v="2023-04-24T00:00:00"/>
    <d v="2026-01-31T00:00:00"/>
  </r>
  <r>
    <s v="LN00008"/>
    <s v="CUST0030"/>
    <x v="0"/>
    <s v="West"/>
    <s v="RM_5"/>
    <s v="Term Loan"/>
    <n v="5466203"/>
    <x v="7"/>
    <n v="804340"/>
    <n v="0.85"/>
    <n v="10.24"/>
    <n v="13"/>
    <x v="0"/>
    <n v="0"/>
    <x v="0"/>
    <n v="0"/>
    <n v="1"/>
    <x v="2"/>
    <s v="Textile"/>
    <n v="17"/>
    <n v="412525472"/>
    <s v="C"/>
    <d v="2020-09-08T00:00:00"/>
    <d v="2020-09-14T00:00:00"/>
    <d v="2026-01-31T00:00:00"/>
  </r>
  <r>
    <s v="LN00009"/>
    <s v="CUST0133"/>
    <x v="0"/>
    <s v="South"/>
    <s v="RM_2"/>
    <s v="OD"/>
    <n v="11387387"/>
    <x v="8"/>
    <n v="2011486"/>
    <n v="0.82"/>
    <n v="12.5"/>
    <n v="18"/>
    <x v="0"/>
    <n v="0"/>
    <x v="0"/>
    <n v="1"/>
    <n v="5"/>
    <x v="0"/>
    <s v="Textile"/>
    <n v="7"/>
    <n v="246872703"/>
    <s v="C"/>
    <d v="2023-10-15T00:00:00"/>
    <d v="2023-10-19T00:00:00"/>
    <d v="2026-01-31T00:00:00"/>
  </r>
  <r>
    <s v="LN00010"/>
    <s v="CUST0184"/>
    <x v="3"/>
    <s v="East"/>
    <s v="RM_5"/>
    <s v="OD"/>
    <n v="7919175"/>
    <x v="9"/>
    <n v="1178329"/>
    <n v="0.85"/>
    <n v="10.28"/>
    <n v="19"/>
    <x v="0"/>
    <n v="0"/>
    <x v="0"/>
    <n v="1"/>
    <n v="2"/>
    <x v="1"/>
    <s v="Auto Parts"/>
    <n v="10"/>
    <n v="171359832"/>
    <s v="C"/>
    <d v="2022-07-25T00:00:00"/>
    <d v="2022-08-04T00:00:00"/>
    <d v="2026-01-31T00:00:00"/>
  </r>
  <r>
    <s v="LN00011"/>
    <s v="CUST0090"/>
    <x v="1"/>
    <s v="North"/>
    <s v="RM_3"/>
    <s v="LAP"/>
    <n v="3464650"/>
    <x v="10"/>
    <n v="587205"/>
    <n v="0.83"/>
    <n v="13.72"/>
    <n v="15"/>
    <x v="0"/>
    <n v="0"/>
    <x v="0"/>
    <n v="0"/>
    <n v="4"/>
    <x v="0"/>
    <s v="Auto Parts"/>
    <n v="19"/>
    <n v="68569259"/>
    <s v="B"/>
    <d v="2024-01-05T00:00:00"/>
    <d v="2024-01-10T00:00:00"/>
    <d v="2026-01-31T00:00:00"/>
  </r>
  <r>
    <s v="LN00012"/>
    <s v="CUST0022"/>
    <x v="3"/>
    <s v="North"/>
    <s v="RM_7"/>
    <s v="LAP"/>
    <n v="6978497"/>
    <x v="11"/>
    <n v="1504845"/>
    <n v="0.78"/>
    <n v="12.73"/>
    <n v="8"/>
    <x v="0"/>
    <n v="0"/>
    <x v="0"/>
    <n v="0"/>
    <n v="0"/>
    <x v="0"/>
    <s v="FMCG"/>
    <n v="1"/>
    <n v="366690008"/>
    <s v="C"/>
    <d v="2022-05-21T00:00:00"/>
    <d v="2022-05-28T00:00:00"/>
    <d v="2026-01-31T00:00:00"/>
  </r>
  <r>
    <s v="LN00013"/>
    <s v="CUST0139"/>
    <x v="1"/>
    <s v="North"/>
    <s v="RM_3"/>
    <s v="Term Loan"/>
    <n v="10235577"/>
    <x v="12"/>
    <n v="1553511"/>
    <n v="0.85"/>
    <n v="13.59"/>
    <n v="8"/>
    <x v="0"/>
    <n v="0"/>
    <x v="0"/>
    <n v="1"/>
    <n v="1"/>
    <x v="0"/>
    <s v="Electronics"/>
    <n v="2"/>
    <n v="437889354"/>
    <s v="D"/>
    <d v="2022-09-30T00:00:00"/>
    <d v="2022-10-06T00:00:00"/>
    <d v="2026-01-31T00:00:00"/>
  </r>
  <r>
    <s v="LN00014"/>
    <s v="CUST0037"/>
    <x v="0"/>
    <s v="East"/>
    <s v="RM_8"/>
    <s v="LAP"/>
    <n v="12340887"/>
    <x v="13"/>
    <n v="2607851"/>
    <n v="0.79"/>
    <n v="14.05"/>
    <n v="85"/>
    <x v="3"/>
    <n v="0"/>
    <x v="2"/>
    <n v="0"/>
    <n v="2"/>
    <x v="3"/>
    <s v="Pharma"/>
    <n v="19"/>
    <n v="175666257"/>
    <s v="C"/>
    <d v="2023-05-15T00:00:00"/>
    <d v="2023-05-18T00:00:00"/>
    <d v="2026-01-31T00:00:00"/>
  </r>
  <r>
    <s v="LN00015"/>
    <s v="CUST0084"/>
    <x v="0"/>
    <s v="North"/>
    <s v="RM_4"/>
    <s v="CC"/>
    <n v="13948635"/>
    <x v="14"/>
    <n v="3949363"/>
    <n v="0.72"/>
    <n v="10.11"/>
    <n v="23"/>
    <x v="0"/>
    <n v="0"/>
    <x v="0"/>
    <n v="1"/>
    <n v="1"/>
    <x v="3"/>
    <s v="Pharma"/>
    <n v="11"/>
    <n v="55072177"/>
    <s v="B"/>
    <d v="2020-03-26T00:00:00"/>
    <d v="2020-04-02T00:00:00"/>
    <d v="2026-01-31T00:00:00"/>
  </r>
  <r>
    <s v="LN00016"/>
    <s v="CUST0192"/>
    <x v="2"/>
    <s v="East"/>
    <s v="RM_10"/>
    <s v="Term Loan"/>
    <n v="3691409"/>
    <x v="15"/>
    <n v="560574"/>
    <n v="0.85"/>
    <n v="10.23"/>
    <n v="14"/>
    <x v="0"/>
    <n v="0"/>
    <x v="0"/>
    <n v="0"/>
    <n v="1"/>
    <x v="1"/>
    <s v="FMCG"/>
    <n v="11"/>
    <n v="25573983"/>
    <s v="C"/>
    <d v="2020-08-19T00:00:00"/>
    <d v="2020-08-25T00:00:00"/>
    <d v="2026-01-31T00:00:00"/>
  </r>
  <r>
    <s v="LN00017"/>
    <s v="CUST0161"/>
    <x v="1"/>
    <s v="North"/>
    <s v="RM_7"/>
    <s v="Term Loan"/>
    <n v="13726125"/>
    <x v="16"/>
    <n v="4451599"/>
    <n v="0.68"/>
    <n v="12.44"/>
    <n v="5"/>
    <x v="0"/>
    <n v="0"/>
    <x v="0"/>
    <n v="0"/>
    <n v="2"/>
    <x v="1"/>
    <s v="Auto Parts"/>
    <n v="17"/>
    <n v="122835147"/>
    <s v="B"/>
    <d v="2020-09-12T00:00:00"/>
    <d v="2020-09-14T00:00:00"/>
    <d v="2026-01-31T00:00:00"/>
  </r>
  <r>
    <s v="LN00018"/>
    <s v="CUST0048"/>
    <x v="1"/>
    <s v="South"/>
    <s v="RM_9"/>
    <s v="Term Loan"/>
    <n v="6024686"/>
    <x v="17"/>
    <n v="1650329"/>
    <n v="0.73"/>
    <n v="12.87"/>
    <n v="23"/>
    <x v="0"/>
    <n v="0"/>
    <x v="0"/>
    <n v="0"/>
    <n v="2"/>
    <x v="1"/>
    <s v="Pharma"/>
    <n v="25"/>
    <n v="406893230"/>
    <s v="C"/>
    <d v="2021-04-23T00:00:00"/>
    <d v="2021-05-01T00:00:00"/>
    <d v="2026-01-31T00:00:00"/>
  </r>
  <r>
    <s v="LN00019"/>
    <s v="CUST0007"/>
    <x v="2"/>
    <s v="West"/>
    <s v="RM_8"/>
    <s v="CC"/>
    <n v="7602092"/>
    <x v="18"/>
    <n v="447383"/>
    <n v="0.94"/>
    <n v="12.23"/>
    <n v="55"/>
    <x v="1"/>
    <n v="0"/>
    <x v="1"/>
    <n v="0"/>
    <n v="0"/>
    <x v="1"/>
    <s v="Auto Parts"/>
    <n v="8"/>
    <n v="385127346"/>
    <s v="A"/>
    <d v="2020-09-29T00:00:00"/>
    <d v="2020-10-05T00:00:00"/>
    <d v="2026-01-31T00:00:00"/>
  </r>
  <r>
    <s v="LN00020"/>
    <s v="CUST0162"/>
    <x v="0"/>
    <s v="South"/>
    <s v="RM_6"/>
    <s v="CC"/>
    <n v="11313164"/>
    <x v="19"/>
    <n v="2166065"/>
    <n v="0.81"/>
    <n v="14.12"/>
    <n v="63"/>
    <x v="3"/>
    <n v="0"/>
    <x v="2"/>
    <n v="1"/>
    <n v="3"/>
    <x v="3"/>
    <s v="Auto Parts"/>
    <n v="8"/>
    <n v="61159234"/>
    <s v="B"/>
    <d v="2022-03-23T00:00:00"/>
    <d v="2022-04-02T00:00:00"/>
    <d v="2026-01-31T00:00:00"/>
  </r>
  <r>
    <s v="LN00021"/>
    <s v="CUST0142"/>
    <x v="1"/>
    <s v="East"/>
    <s v="RM_9"/>
    <s v="Term Loan"/>
    <n v="8417343"/>
    <x v="20"/>
    <n v="2711723"/>
    <n v="0.68"/>
    <n v="14.5"/>
    <n v="46"/>
    <x v="1"/>
    <n v="0"/>
    <x v="1"/>
    <n v="0"/>
    <n v="0"/>
    <x v="3"/>
    <s v="Electronics"/>
    <n v="22"/>
    <n v="485778564"/>
    <s v="D"/>
    <d v="2020-05-29T00:00:00"/>
    <d v="2020-06-06T00:00:00"/>
    <d v="2026-01-31T00:00:00"/>
  </r>
  <r>
    <s v="LN00022"/>
    <s v="CUST0060"/>
    <x v="1"/>
    <s v="North"/>
    <s v="RM_3"/>
    <s v="LAP"/>
    <n v="5600419"/>
    <x v="21"/>
    <n v="1417653"/>
    <n v="0.75"/>
    <n v="13.85"/>
    <n v="30"/>
    <x v="0"/>
    <n v="0"/>
    <x v="0"/>
    <n v="0"/>
    <n v="3"/>
    <x v="0"/>
    <s v="FMCG"/>
    <n v="1"/>
    <n v="52134123"/>
    <s v="D"/>
    <d v="2023-01-06T00:00:00"/>
    <d v="2023-01-14T00:00:00"/>
    <d v="2026-01-31T00:00:00"/>
  </r>
  <r>
    <s v="LN00023"/>
    <s v="CUST0038"/>
    <x v="3"/>
    <s v="East"/>
    <s v="RM_6"/>
    <s v="OD"/>
    <n v="13465115"/>
    <x v="22"/>
    <n v="4967170"/>
    <n v="0.63"/>
    <n v="9.6300000000000008"/>
    <n v="26"/>
    <x v="0"/>
    <n v="0"/>
    <x v="0"/>
    <n v="1"/>
    <n v="1"/>
    <x v="0"/>
    <s v="Textile"/>
    <n v="17"/>
    <n v="272987670"/>
    <s v="C"/>
    <d v="2023-10-25T00:00:00"/>
    <d v="2023-10-29T00:00:00"/>
    <d v="2026-01-31T00:00:00"/>
  </r>
  <r>
    <s v="LN00024"/>
    <s v="CUST0046"/>
    <x v="1"/>
    <s v="East"/>
    <s v="RM_6"/>
    <s v="Term Loan"/>
    <n v="2684100"/>
    <x v="23"/>
    <n v="520149"/>
    <n v="0.81"/>
    <n v="12.08"/>
    <n v="27"/>
    <x v="0"/>
    <n v="0"/>
    <x v="0"/>
    <n v="0"/>
    <n v="5"/>
    <x v="2"/>
    <s v="Textile"/>
    <n v="9"/>
    <n v="340145061"/>
    <s v="D"/>
    <d v="2020-07-19T00:00:00"/>
    <d v="2020-07-28T00:00:00"/>
    <d v="2026-01-31T00:00:00"/>
  </r>
  <r>
    <s v="LN00025"/>
    <s v="CUST0184"/>
    <x v="1"/>
    <s v="North"/>
    <s v="RM_3"/>
    <s v="CC"/>
    <n v="10853437"/>
    <x v="24"/>
    <n v="3778916"/>
    <n v="0.65"/>
    <n v="11.14"/>
    <n v="11"/>
    <x v="0"/>
    <n v="0"/>
    <x v="0"/>
    <n v="1"/>
    <n v="5"/>
    <x v="1"/>
    <s v="FMCG"/>
    <n v="19"/>
    <n v="412038478"/>
    <s v="C"/>
    <d v="2021-05-19T00:00:00"/>
    <d v="2021-05-25T00:00:00"/>
    <d v="2026-01-31T00:00:00"/>
  </r>
  <r>
    <s v="LN00026"/>
    <s v="CUST0178"/>
    <x v="3"/>
    <s v="South"/>
    <s v="RM_8"/>
    <s v="LAP"/>
    <n v="13836484"/>
    <x v="25"/>
    <n v="2102004"/>
    <n v="0.85"/>
    <n v="10.57"/>
    <n v="11"/>
    <x v="0"/>
    <n v="0"/>
    <x v="0"/>
    <n v="0"/>
    <n v="5"/>
    <x v="1"/>
    <s v="Pharma"/>
    <n v="5"/>
    <n v="76436285"/>
    <s v="A"/>
    <d v="2022-08-29T00:00:00"/>
    <d v="2022-08-30T00:00:00"/>
    <d v="2026-01-31T00:00:00"/>
  </r>
  <r>
    <s v="LN00027"/>
    <s v="CUST0017"/>
    <x v="1"/>
    <s v="South"/>
    <s v="RM_3"/>
    <s v="LAP"/>
    <n v="5974017"/>
    <x v="26"/>
    <n v="2372661"/>
    <n v="0.6"/>
    <n v="11.13"/>
    <n v="13"/>
    <x v="0"/>
    <n v="0"/>
    <x v="0"/>
    <n v="1"/>
    <n v="3"/>
    <x v="2"/>
    <s v="Electronics"/>
    <n v="16"/>
    <n v="265070132"/>
    <s v="C"/>
    <d v="2020-07-10T00:00:00"/>
    <d v="2020-07-16T00:00:00"/>
    <d v="2026-01-31T00:00:00"/>
  </r>
  <r>
    <s v="LN00028"/>
    <s v="CUST0120"/>
    <x v="0"/>
    <s v="North"/>
    <s v="RM_2"/>
    <s v="Term Loan"/>
    <n v="11273409"/>
    <x v="27"/>
    <n v="3529531"/>
    <n v="0.69"/>
    <n v="13.56"/>
    <n v="12"/>
    <x v="0"/>
    <n v="0"/>
    <x v="0"/>
    <n v="0"/>
    <n v="2"/>
    <x v="3"/>
    <s v="FMCG"/>
    <n v="10"/>
    <n v="48916009"/>
    <s v="B"/>
    <d v="2020-10-03T00:00:00"/>
    <d v="2020-10-05T00:00:00"/>
    <d v="2026-01-31T00:00:00"/>
  </r>
  <r>
    <s v="LN00029"/>
    <s v="CUST0034"/>
    <x v="1"/>
    <s v="North"/>
    <s v="RM_6"/>
    <s v="OD"/>
    <n v="14243532"/>
    <x v="28"/>
    <n v="5486421"/>
    <n v="0.61"/>
    <n v="14.32"/>
    <n v="29"/>
    <x v="0"/>
    <n v="0"/>
    <x v="0"/>
    <n v="1"/>
    <n v="5"/>
    <x v="3"/>
    <s v="FMCG"/>
    <n v="4"/>
    <n v="94932981"/>
    <s v="D"/>
    <d v="2024-01-11T00:00:00"/>
    <d v="2024-01-20T00:00:00"/>
    <d v="2026-01-31T00:00:00"/>
  </r>
  <r>
    <s v="LN00030"/>
    <s v="CUST0187"/>
    <x v="3"/>
    <s v="North"/>
    <s v="RM_5"/>
    <s v="Term Loan"/>
    <n v="8322647"/>
    <x v="29"/>
    <n v="2239427"/>
    <n v="0.73"/>
    <n v="9.41"/>
    <n v="7"/>
    <x v="0"/>
    <n v="0"/>
    <x v="0"/>
    <n v="0"/>
    <n v="1"/>
    <x v="1"/>
    <s v="Pharma"/>
    <n v="3"/>
    <n v="102546497"/>
    <s v="C"/>
    <d v="2023-11-03T00:00:00"/>
    <d v="2023-11-07T00:00:00"/>
    <d v="2026-01-31T00:00:00"/>
  </r>
  <r>
    <s v="LN00031"/>
    <s v="CUST0123"/>
    <x v="3"/>
    <s v="East"/>
    <s v="RM_6"/>
    <s v="Term Loan"/>
    <n v="11298133"/>
    <x v="30"/>
    <n v="3731584"/>
    <n v="0.67"/>
    <n v="12.55"/>
    <n v="20"/>
    <x v="0"/>
    <n v="0"/>
    <x v="0"/>
    <n v="1"/>
    <n v="1"/>
    <x v="0"/>
    <s v="Textile"/>
    <n v="12"/>
    <n v="392592960"/>
    <s v="D"/>
    <d v="2021-02-23T00:00:00"/>
    <d v="2021-03-03T00:00:00"/>
    <d v="2026-01-31T00:00:00"/>
  </r>
  <r>
    <s v="LN00032"/>
    <s v="CUST0081"/>
    <x v="3"/>
    <s v="East"/>
    <s v="RM_2"/>
    <s v="Term Loan"/>
    <n v="10253922"/>
    <x v="31"/>
    <n v="1637781"/>
    <n v="0.84"/>
    <n v="10.41"/>
    <n v="3"/>
    <x v="0"/>
    <n v="0"/>
    <x v="0"/>
    <n v="1"/>
    <n v="1"/>
    <x v="2"/>
    <s v="FMCG"/>
    <n v="23"/>
    <n v="387705957"/>
    <s v="D"/>
    <d v="2021-03-21T00:00:00"/>
    <d v="2021-03-29T00:00:00"/>
    <d v="2026-01-31T00:00:00"/>
  </r>
  <r>
    <s v="LN00033"/>
    <s v="CUST0026"/>
    <x v="0"/>
    <s v="North"/>
    <s v="RM_6"/>
    <s v="CC"/>
    <n v="14643502"/>
    <x v="32"/>
    <n v="5643613"/>
    <n v="0.61"/>
    <n v="12.56"/>
    <n v="27"/>
    <x v="0"/>
    <n v="0"/>
    <x v="0"/>
    <n v="0"/>
    <n v="3"/>
    <x v="3"/>
    <s v="FMCG"/>
    <n v="12"/>
    <n v="445431808"/>
    <s v="A"/>
    <d v="2022-09-14T00:00:00"/>
    <d v="2022-09-21T00:00:00"/>
    <d v="2026-01-31T00:00:00"/>
  </r>
  <r>
    <s v="LN00034"/>
    <s v="CUST0118"/>
    <x v="0"/>
    <s v="South"/>
    <s v="RM_9"/>
    <s v="Term Loan"/>
    <n v="6865631"/>
    <x v="33"/>
    <n v="1254309"/>
    <n v="0.82"/>
    <n v="11.13"/>
    <n v="93"/>
    <x v="2"/>
    <n v="1"/>
    <x v="2"/>
    <n v="1"/>
    <n v="3"/>
    <x v="3"/>
    <s v="Textile"/>
    <n v="19"/>
    <n v="408624164"/>
    <s v="C"/>
    <d v="2020-11-04T00:00:00"/>
    <d v="2020-11-09T00:00:00"/>
    <d v="2026-01-31T00:00:00"/>
  </r>
  <r>
    <s v="LN00035"/>
    <s v="CUST0050"/>
    <x v="1"/>
    <s v="South"/>
    <s v="RM_5"/>
    <s v="Term Loan"/>
    <n v="4547851"/>
    <x v="34"/>
    <n v="673750"/>
    <n v="0.85"/>
    <n v="13.33"/>
    <n v="0"/>
    <x v="0"/>
    <n v="0"/>
    <x v="0"/>
    <n v="0"/>
    <n v="2"/>
    <x v="0"/>
    <s v="FMCG"/>
    <n v="12"/>
    <n v="137831062"/>
    <s v="A"/>
    <d v="2021-11-19T00:00:00"/>
    <d v="2021-11-26T00:00:00"/>
    <d v="2026-01-31T00:00:00"/>
  </r>
  <r>
    <s v="LN00036"/>
    <s v="CUST0111"/>
    <x v="1"/>
    <s v="West"/>
    <s v="RM_2"/>
    <s v="OD"/>
    <n v="10405731"/>
    <x v="35"/>
    <n v="1212610"/>
    <n v="0.88"/>
    <n v="9.06"/>
    <n v="5"/>
    <x v="0"/>
    <n v="0"/>
    <x v="0"/>
    <n v="0"/>
    <n v="3"/>
    <x v="2"/>
    <s v="Pharma"/>
    <n v="21"/>
    <n v="207761226"/>
    <s v="C"/>
    <d v="2023-11-03T00:00:00"/>
    <d v="2023-11-09T00:00:00"/>
    <d v="2026-01-31T00:00:00"/>
  </r>
  <r>
    <s v="LN00037"/>
    <s v="CUST0055"/>
    <x v="3"/>
    <s v="West"/>
    <s v="RM_9"/>
    <s v="OD"/>
    <n v="7599500"/>
    <x v="36"/>
    <n v="1721684"/>
    <n v="0.77"/>
    <n v="10.42"/>
    <n v="19"/>
    <x v="0"/>
    <n v="0"/>
    <x v="0"/>
    <n v="1"/>
    <n v="2"/>
    <x v="0"/>
    <s v="Pharma"/>
    <n v="4"/>
    <n v="218743023"/>
    <s v="D"/>
    <d v="2021-07-03T00:00:00"/>
    <d v="2021-07-10T00:00:00"/>
    <d v="2026-01-31T00:00:00"/>
  </r>
  <r>
    <s v="LN00038"/>
    <s v="CUST0065"/>
    <x v="3"/>
    <s v="East"/>
    <s v="RM_10"/>
    <s v="OD"/>
    <n v="10133439"/>
    <x v="37"/>
    <n v="1048460"/>
    <n v="0.9"/>
    <n v="10.199999999999999"/>
    <n v="14"/>
    <x v="0"/>
    <n v="0"/>
    <x v="0"/>
    <n v="0"/>
    <n v="0"/>
    <x v="0"/>
    <s v="Pharma"/>
    <n v="22"/>
    <n v="142090169"/>
    <s v="B"/>
    <d v="2023-03-26T00:00:00"/>
    <d v="2023-03-31T00:00:00"/>
    <d v="2026-01-31T00:00:00"/>
  </r>
  <r>
    <s v="LN00039"/>
    <s v="CUST0124"/>
    <x v="0"/>
    <s v="North"/>
    <s v="RM_7"/>
    <s v="OD"/>
    <n v="11311625"/>
    <x v="38"/>
    <n v="1612669"/>
    <n v="0.86"/>
    <n v="13.49"/>
    <n v="57"/>
    <x v="1"/>
    <n v="0"/>
    <x v="1"/>
    <n v="0"/>
    <n v="2"/>
    <x v="2"/>
    <s v="Auto Parts"/>
    <n v="10"/>
    <n v="311595473"/>
    <s v="B"/>
    <d v="2020-03-05T00:00:00"/>
    <d v="2020-03-08T00:00:00"/>
    <d v="2026-01-31T00:00:00"/>
  </r>
  <r>
    <s v="LN00040"/>
    <s v="CUST0050"/>
    <x v="3"/>
    <s v="South"/>
    <s v="RM_2"/>
    <s v="CC"/>
    <n v="13888713"/>
    <x v="39"/>
    <n v="2575349"/>
    <n v="0.81"/>
    <n v="13.3"/>
    <n v="8"/>
    <x v="0"/>
    <n v="0"/>
    <x v="0"/>
    <n v="1"/>
    <n v="0"/>
    <x v="3"/>
    <s v="Pharma"/>
    <n v="8"/>
    <n v="279932587"/>
    <s v="D"/>
    <d v="2021-06-09T00:00:00"/>
    <d v="2021-06-17T00:00:00"/>
    <d v="2026-01-31T00:00:00"/>
  </r>
  <r>
    <s v="LN00041"/>
    <s v="CUST0127"/>
    <x v="3"/>
    <s v="West"/>
    <s v="RM_1"/>
    <s v="CC"/>
    <n v="10071301"/>
    <x v="40"/>
    <n v="2676074"/>
    <n v="0.73"/>
    <n v="12.06"/>
    <n v="22"/>
    <x v="0"/>
    <n v="0"/>
    <x v="0"/>
    <n v="0"/>
    <n v="0"/>
    <x v="3"/>
    <s v="Pharma"/>
    <n v="7"/>
    <n v="416538035"/>
    <s v="C"/>
    <d v="2022-05-12T00:00:00"/>
    <d v="2022-05-16T00:00:00"/>
    <d v="2026-01-31T00:00:00"/>
  </r>
  <r>
    <s v="LN00042"/>
    <s v="CUST0165"/>
    <x v="0"/>
    <s v="South"/>
    <s v="RM_2"/>
    <s v="OD"/>
    <n v="9200177"/>
    <x v="41"/>
    <n v="2887670"/>
    <n v="0.69"/>
    <n v="13"/>
    <n v="6"/>
    <x v="0"/>
    <n v="0"/>
    <x v="0"/>
    <n v="1"/>
    <n v="2"/>
    <x v="1"/>
    <s v="Auto Parts"/>
    <n v="18"/>
    <n v="196329533"/>
    <s v="A"/>
    <d v="2020-07-21T00:00:00"/>
    <d v="2020-07-29T00:00:00"/>
    <d v="2026-01-31T00:00:00"/>
  </r>
  <r>
    <s v="LN00043"/>
    <s v="CUST0137"/>
    <x v="3"/>
    <s v="West"/>
    <s v="RM_5"/>
    <s v="OD"/>
    <n v="7503797"/>
    <x v="42"/>
    <n v="2566091"/>
    <n v="0.66"/>
    <n v="11.02"/>
    <n v="19"/>
    <x v="0"/>
    <n v="0"/>
    <x v="0"/>
    <n v="0"/>
    <n v="1"/>
    <x v="0"/>
    <s v="Pharma"/>
    <n v="3"/>
    <n v="124403230"/>
    <s v="A"/>
    <d v="2021-05-22T00:00:00"/>
    <d v="2021-06-01T00:00:00"/>
    <d v="2026-01-31T00:00:00"/>
  </r>
  <r>
    <s v="LN00044"/>
    <s v="CUST0175"/>
    <x v="0"/>
    <s v="North"/>
    <s v="RM_6"/>
    <s v="OD"/>
    <n v="2952647"/>
    <x v="43"/>
    <n v="936173"/>
    <n v="0.68"/>
    <n v="12.19"/>
    <n v="13"/>
    <x v="0"/>
    <n v="0"/>
    <x v="0"/>
    <n v="0"/>
    <n v="2"/>
    <x v="2"/>
    <s v="Textile"/>
    <n v="21"/>
    <n v="6663423"/>
    <s v="C"/>
    <d v="2023-10-06T00:00:00"/>
    <d v="2023-10-14T00:00:00"/>
    <d v="2026-01-31T00:00:00"/>
  </r>
  <r>
    <s v="LN00045"/>
    <s v="CUST0008"/>
    <x v="1"/>
    <s v="West"/>
    <s v="RM_7"/>
    <s v="Term Loan"/>
    <n v="4114459"/>
    <x v="44"/>
    <n v="1002523"/>
    <n v="0.76"/>
    <n v="10.36"/>
    <n v="21"/>
    <x v="0"/>
    <n v="0"/>
    <x v="0"/>
    <n v="0"/>
    <n v="4"/>
    <x v="2"/>
    <s v="Auto Parts"/>
    <n v="24"/>
    <n v="429222931"/>
    <s v="A"/>
    <d v="2020-08-07T00:00:00"/>
    <d v="2020-08-15T00:00:00"/>
    <d v="2026-01-31T00:00:00"/>
  </r>
  <r>
    <s v="LN00046"/>
    <s v="CUST0087"/>
    <x v="1"/>
    <s v="West"/>
    <s v="RM_2"/>
    <s v="OD"/>
    <n v="9937419"/>
    <x v="45"/>
    <n v="3239292"/>
    <n v="0.67"/>
    <n v="13.06"/>
    <n v="21"/>
    <x v="0"/>
    <n v="0"/>
    <x v="0"/>
    <n v="1"/>
    <n v="0"/>
    <x v="2"/>
    <s v="Auto Parts"/>
    <n v="20"/>
    <n v="92676830"/>
    <s v="D"/>
    <d v="2020-11-13T00:00:00"/>
    <d v="2020-11-21T00:00:00"/>
    <d v="2026-01-31T00:00:00"/>
  </r>
  <r>
    <s v="LN00047"/>
    <s v="CUST0105"/>
    <x v="3"/>
    <s v="North"/>
    <s v="RM_4"/>
    <s v="Term Loan"/>
    <n v="2536902"/>
    <x v="46"/>
    <n v="937895"/>
    <n v="0.63"/>
    <n v="14.33"/>
    <n v="6"/>
    <x v="0"/>
    <n v="0"/>
    <x v="0"/>
    <n v="1"/>
    <n v="1"/>
    <x v="1"/>
    <s v="Pharma"/>
    <n v="22"/>
    <n v="414639349"/>
    <s v="C"/>
    <d v="2020-08-04T00:00:00"/>
    <d v="2020-08-10T00:00:00"/>
    <d v="2026-01-31T00:00:00"/>
  </r>
  <r>
    <s v="LN00048"/>
    <s v="CUST0124"/>
    <x v="1"/>
    <s v="West"/>
    <s v="RM_6"/>
    <s v="Term Loan"/>
    <n v="3583959"/>
    <x v="47"/>
    <n v="1328617"/>
    <n v="0.63"/>
    <n v="14.29"/>
    <n v="8"/>
    <x v="0"/>
    <n v="0"/>
    <x v="0"/>
    <n v="1"/>
    <n v="2"/>
    <x v="1"/>
    <s v="Textile"/>
    <n v="22"/>
    <n v="303656160"/>
    <s v="B"/>
    <d v="2020-09-18T00:00:00"/>
    <d v="2020-09-27T00:00:00"/>
    <d v="2026-01-31T00:00:00"/>
  </r>
  <r>
    <s v="LN00049"/>
    <s v="CUST0115"/>
    <x v="3"/>
    <s v="South"/>
    <s v="RM_4"/>
    <s v="OD"/>
    <n v="14734880"/>
    <x v="48"/>
    <n v="3409172"/>
    <n v="0.77"/>
    <n v="13.89"/>
    <n v="19"/>
    <x v="0"/>
    <n v="0"/>
    <x v="0"/>
    <n v="1"/>
    <n v="1"/>
    <x v="2"/>
    <s v="Textile"/>
    <n v="13"/>
    <n v="53343988"/>
    <s v="B"/>
    <d v="2021-08-27T00:00:00"/>
    <d v="2021-08-31T00:00:00"/>
    <d v="2026-01-31T00:00:00"/>
  </r>
  <r>
    <s v="LN00050"/>
    <s v="CUST0100"/>
    <x v="1"/>
    <s v="South"/>
    <s v="RM_7"/>
    <s v="LAP"/>
    <n v="12157727"/>
    <x v="49"/>
    <n v="3513408"/>
    <n v="0.71"/>
    <n v="12.55"/>
    <n v="61"/>
    <x v="3"/>
    <n v="0"/>
    <x v="2"/>
    <n v="0"/>
    <n v="4"/>
    <x v="0"/>
    <s v="Auto Parts"/>
    <n v="8"/>
    <n v="114220244"/>
    <s v="D"/>
    <d v="2022-04-15T00:00:00"/>
    <d v="2022-04-21T00:00:00"/>
    <d v="2026-01-31T00:00:00"/>
  </r>
  <r>
    <s v="LN00051"/>
    <s v="CUST0150"/>
    <x v="0"/>
    <s v="West"/>
    <s v="RM_8"/>
    <s v="CC"/>
    <n v="12936290"/>
    <x v="50"/>
    <n v="669062"/>
    <n v="0.95"/>
    <n v="9.9"/>
    <n v="1"/>
    <x v="0"/>
    <n v="0"/>
    <x v="0"/>
    <n v="0"/>
    <n v="1"/>
    <x v="2"/>
    <s v="Auto Parts"/>
    <n v="7"/>
    <n v="376979408"/>
    <s v="D"/>
    <d v="2023-03-24T00:00:00"/>
    <d v="2023-03-27T00:00:00"/>
    <d v="2026-01-31T00:00:00"/>
  </r>
  <r>
    <s v="LN00052"/>
    <s v="CUST0173"/>
    <x v="2"/>
    <s v="North"/>
    <s v="RM_10"/>
    <s v="OD"/>
    <n v="5222869"/>
    <x v="51"/>
    <n v="975639"/>
    <n v="0.81"/>
    <n v="12.45"/>
    <n v="25"/>
    <x v="0"/>
    <n v="0"/>
    <x v="0"/>
    <n v="0"/>
    <n v="4"/>
    <x v="2"/>
    <s v="Pharma"/>
    <n v="7"/>
    <n v="247314444"/>
    <s v="D"/>
    <d v="2021-10-24T00:00:00"/>
    <d v="2021-10-29T00:00:00"/>
    <d v="2026-01-31T00:00:00"/>
  </r>
  <r>
    <s v="LN00053"/>
    <s v="CUST0129"/>
    <x v="3"/>
    <s v="North"/>
    <s v="RM_6"/>
    <s v="OD"/>
    <n v="8025305"/>
    <x v="52"/>
    <n v="1145509"/>
    <n v="0.86"/>
    <n v="12.78"/>
    <n v="12"/>
    <x v="0"/>
    <n v="0"/>
    <x v="0"/>
    <n v="1"/>
    <n v="2"/>
    <x v="1"/>
    <s v="FMCG"/>
    <n v="3"/>
    <n v="193458477"/>
    <s v="C"/>
    <d v="2023-06-04T00:00:00"/>
    <d v="2023-06-12T00:00:00"/>
    <d v="2026-01-31T00:00:00"/>
  </r>
  <r>
    <s v="LN00054"/>
    <s v="CUST0133"/>
    <x v="3"/>
    <s v="West"/>
    <s v="RM_8"/>
    <s v="Term Loan"/>
    <n v="7008359"/>
    <x v="53"/>
    <n v="1815561"/>
    <n v="0.74"/>
    <n v="11.87"/>
    <n v="17"/>
    <x v="0"/>
    <n v="0"/>
    <x v="0"/>
    <n v="1"/>
    <n v="5"/>
    <x v="3"/>
    <s v="Electronics"/>
    <n v="4"/>
    <n v="229717324"/>
    <s v="D"/>
    <d v="2021-09-06T00:00:00"/>
    <d v="2021-09-08T00:00:00"/>
    <d v="2026-01-31T00:00:00"/>
  </r>
  <r>
    <s v="LN00055"/>
    <s v="CUST0089"/>
    <x v="0"/>
    <s v="West"/>
    <s v="RM_2"/>
    <s v="OD"/>
    <n v="14014751"/>
    <x v="54"/>
    <n v="3985062"/>
    <n v="0.72"/>
    <n v="11.81"/>
    <n v="5"/>
    <x v="0"/>
    <n v="0"/>
    <x v="0"/>
    <n v="0"/>
    <n v="4"/>
    <x v="1"/>
    <s v="Electronics"/>
    <n v="23"/>
    <n v="69097794"/>
    <s v="A"/>
    <d v="2020-11-10T00:00:00"/>
    <d v="2020-11-15T00:00:00"/>
    <d v="2026-01-31T00:00:00"/>
  </r>
  <r>
    <s v="LN00056"/>
    <s v="CUST0175"/>
    <x v="0"/>
    <s v="North"/>
    <s v="RM_8"/>
    <s v="CC"/>
    <n v="4710015"/>
    <x v="55"/>
    <n v="410648"/>
    <n v="0.91"/>
    <n v="11.17"/>
    <n v="64"/>
    <x v="3"/>
    <n v="0"/>
    <x v="2"/>
    <n v="0"/>
    <n v="3"/>
    <x v="3"/>
    <s v="Textile"/>
    <n v="18"/>
    <n v="252780130"/>
    <s v="B"/>
    <d v="2020-11-05T00:00:00"/>
    <d v="2020-11-07T00:00:00"/>
    <d v="2026-01-31T00:00:00"/>
  </r>
  <r>
    <s v="LN00057"/>
    <s v="CUST0062"/>
    <x v="3"/>
    <s v="North"/>
    <s v="RM_10"/>
    <s v="LAP"/>
    <n v="9512625"/>
    <x v="56"/>
    <n v="3651137"/>
    <n v="0.62"/>
    <n v="13.77"/>
    <n v="55"/>
    <x v="1"/>
    <n v="0"/>
    <x v="1"/>
    <n v="1"/>
    <n v="0"/>
    <x v="1"/>
    <s v="Auto Parts"/>
    <n v="2"/>
    <n v="340472268"/>
    <s v="D"/>
    <d v="2021-11-24T00:00:00"/>
    <d v="2021-11-30T00:00:00"/>
    <d v="2026-01-31T00:00:00"/>
  </r>
  <r>
    <s v="LN00058"/>
    <s v="CUST0192"/>
    <x v="0"/>
    <s v="South"/>
    <s v="RM_8"/>
    <s v="Term Loan"/>
    <n v="10044572"/>
    <x v="57"/>
    <n v="1754039"/>
    <n v="0.83"/>
    <n v="11.56"/>
    <n v="27"/>
    <x v="0"/>
    <n v="0"/>
    <x v="0"/>
    <n v="1"/>
    <n v="2"/>
    <x v="2"/>
    <s v="Electronics"/>
    <n v="22"/>
    <n v="99633435"/>
    <s v="A"/>
    <d v="2020-01-05T00:00:00"/>
    <d v="2020-01-06T00:00:00"/>
    <d v="2026-01-31T00:00:00"/>
  </r>
  <r>
    <s v="LN00059"/>
    <s v="CUST0044"/>
    <x v="2"/>
    <s v="West"/>
    <s v="RM_4"/>
    <s v="CC"/>
    <n v="6103787"/>
    <x v="58"/>
    <n v="312004"/>
    <n v="0.95"/>
    <n v="11.42"/>
    <n v="15"/>
    <x v="0"/>
    <n v="0"/>
    <x v="0"/>
    <n v="0"/>
    <n v="4"/>
    <x v="2"/>
    <s v="FMCG"/>
    <n v="25"/>
    <n v="331899349"/>
    <s v="D"/>
    <d v="2023-07-27T00:00:00"/>
    <d v="2023-08-03T00:00:00"/>
    <d v="2026-01-31T00:00:00"/>
  </r>
  <r>
    <s v="LN00060"/>
    <s v="CUST0009"/>
    <x v="1"/>
    <s v="South"/>
    <s v="RM_4"/>
    <s v="CC"/>
    <n v="4263108"/>
    <x v="59"/>
    <n v="712413"/>
    <n v="0.83"/>
    <n v="11.02"/>
    <n v="2"/>
    <x v="0"/>
    <n v="0"/>
    <x v="0"/>
    <n v="1"/>
    <n v="2"/>
    <x v="1"/>
    <s v="Auto Parts"/>
    <n v="7"/>
    <n v="309415072"/>
    <s v="D"/>
    <d v="2022-01-20T00:00:00"/>
    <d v="2022-01-23T00:00:00"/>
    <d v="2026-01-31T00:00:00"/>
  </r>
  <r>
    <s v="LN00061"/>
    <s v="CUST0100"/>
    <x v="1"/>
    <s v="West"/>
    <s v="RM_10"/>
    <s v="LAP"/>
    <n v="10742218"/>
    <x v="60"/>
    <n v="1787361"/>
    <n v="0.83"/>
    <n v="9.83"/>
    <n v="21"/>
    <x v="0"/>
    <n v="0"/>
    <x v="0"/>
    <n v="1"/>
    <n v="3"/>
    <x v="1"/>
    <s v="Auto Parts"/>
    <n v="5"/>
    <n v="492349522"/>
    <s v="A"/>
    <d v="2020-04-06T00:00:00"/>
    <d v="2020-04-10T00:00:00"/>
    <d v="2026-01-31T00:00:00"/>
  </r>
  <r>
    <s v="LN00062"/>
    <s v="CUST0075"/>
    <x v="2"/>
    <s v="North"/>
    <s v="RM_9"/>
    <s v="LAP"/>
    <n v="5665031"/>
    <x v="61"/>
    <n v="1034465"/>
    <n v="0.82"/>
    <n v="10.87"/>
    <n v="19"/>
    <x v="0"/>
    <n v="0"/>
    <x v="0"/>
    <n v="0"/>
    <n v="1"/>
    <x v="1"/>
    <s v="Textile"/>
    <n v="1"/>
    <n v="452685969"/>
    <s v="B"/>
    <d v="2023-06-23T00:00:00"/>
    <d v="2023-07-01T00:00:00"/>
    <d v="2026-01-31T00:00:00"/>
  </r>
  <r>
    <s v="LN00063"/>
    <s v="CUST0004"/>
    <x v="1"/>
    <s v="South"/>
    <s v="RM_5"/>
    <s v="Term Loan"/>
    <n v="7339577"/>
    <x v="62"/>
    <n v="1642417"/>
    <n v="0.78"/>
    <n v="11.38"/>
    <n v="163"/>
    <x v="2"/>
    <n v="1"/>
    <x v="2"/>
    <n v="1"/>
    <n v="3"/>
    <x v="3"/>
    <s v="Electronics"/>
    <n v="24"/>
    <n v="60510323"/>
    <s v="A"/>
    <d v="2020-11-07T00:00:00"/>
    <d v="2020-11-13T00:00:00"/>
    <d v="2026-01-31T00:00:00"/>
  </r>
  <r>
    <s v="LN00064"/>
    <s v="CUST0080"/>
    <x v="0"/>
    <s v="East"/>
    <s v="RM_1"/>
    <s v="Term Loan"/>
    <n v="12689124"/>
    <x v="63"/>
    <n v="1466827"/>
    <n v="0.88"/>
    <n v="12.28"/>
    <n v="25"/>
    <x v="0"/>
    <n v="0"/>
    <x v="0"/>
    <n v="1"/>
    <n v="4"/>
    <x v="1"/>
    <s v="FMCG"/>
    <n v="11"/>
    <n v="139427910"/>
    <s v="D"/>
    <d v="2021-08-29T00:00:00"/>
    <d v="2021-09-08T00:00:00"/>
    <d v="2026-01-31T00:00:00"/>
  </r>
  <r>
    <s v="LN00065"/>
    <s v="CUST0064"/>
    <x v="2"/>
    <s v="North"/>
    <s v="RM_8"/>
    <s v="OD"/>
    <n v="3043206"/>
    <x v="64"/>
    <n v="211083"/>
    <n v="0.93"/>
    <n v="12.15"/>
    <n v="6"/>
    <x v="0"/>
    <n v="0"/>
    <x v="0"/>
    <n v="1"/>
    <n v="1"/>
    <x v="3"/>
    <s v="Electronics"/>
    <n v="6"/>
    <n v="428806847"/>
    <s v="D"/>
    <d v="2024-01-31T00:00:00"/>
    <d v="2024-02-09T00:00:00"/>
    <d v="2026-01-31T00:00:00"/>
  </r>
  <r>
    <s v="LN00066"/>
    <s v="CUST0043"/>
    <x v="0"/>
    <s v="South"/>
    <s v="RM_7"/>
    <s v="Term Loan"/>
    <n v="3086143"/>
    <x v="65"/>
    <n v="951107"/>
    <n v="0.69"/>
    <n v="10.65"/>
    <n v="27"/>
    <x v="0"/>
    <n v="0"/>
    <x v="0"/>
    <n v="1"/>
    <n v="1"/>
    <x v="2"/>
    <s v="Auto Parts"/>
    <n v="18"/>
    <n v="491921835"/>
    <s v="D"/>
    <d v="2020-01-17T00:00:00"/>
    <d v="2020-01-25T00:00:00"/>
    <d v="2026-01-31T00:00:00"/>
  </r>
  <r>
    <s v="LN00067"/>
    <s v="CUST0051"/>
    <x v="1"/>
    <s v="East"/>
    <s v="RM_2"/>
    <s v="CC"/>
    <n v="3722394"/>
    <x v="66"/>
    <n v="1124605"/>
    <n v="0.7"/>
    <n v="11.83"/>
    <n v="25"/>
    <x v="0"/>
    <n v="0"/>
    <x v="0"/>
    <n v="0"/>
    <n v="5"/>
    <x v="1"/>
    <s v="Textile"/>
    <n v="7"/>
    <n v="56134431"/>
    <s v="C"/>
    <d v="2022-03-03T00:00:00"/>
    <d v="2022-03-04T00:00:00"/>
    <d v="2026-01-31T00:00:00"/>
  </r>
  <r>
    <s v="LN00068"/>
    <s v="CUST0089"/>
    <x v="3"/>
    <s v="East"/>
    <s v="RM_5"/>
    <s v="CC"/>
    <n v="9288685"/>
    <x v="67"/>
    <n v="1373416"/>
    <n v="0.85"/>
    <n v="9.18"/>
    <n v="13"/>
    <x v="0"/>
    <n v="0"/>
    <x v="0"/>
    <n v="0"/>
    <n v="1"/>
    <x v="1"/>
    <s v="Textile"/>
    <n v="20"/>
    <n v="235619005"/>
    <s v="B"/>
    <d v="2022-12-12T00:00:00"/>
    <d v="2022-12-13T00:00:00"/>
    <d v="2026-01-31T00:00:00"/>
  </r>
  <r>
    <s v="LN00069"/>
    <s v="CUST0180"/>
    <x v="3"/>
    <s v="South"/>
    <s v="RM_5"/>
    <s v="LAP"/>
    <n v="2706986"/>
    <x v="68"/>
    <n v="427881"/>
    <n v="0.84"/>
    <n v="10.45"/>
    <n v="27"/>
    <x v="0"/>
    <n v="0"/>
    <x v="0"/>
    <n v="1"/>
    <n v="1"/>
    <x v="1"/>
    <s v="Auto Parts"/>
    <n v="2"/>
    <n v="83166586"/>
    <s v="B"/>
    <d v="2021-08-11T00:00:00"/>
    <d v="2021-08-12T00:00:00"/>
    <d v="2026-01-31T00:00:00"/>
  </r>
  <r>
    <s v="LN00070"/>
    <s v="CUST0024"/>
    <x v="1"/>
    <s v="South"/>
    <s v="RM_10"/>
    <s v="Term Loan"/>
    <n v="12239812"/>
    <x v="69"/>
    <n v="4250405"/>
    <n v="0.65"/>
    <n v="10.11"/>
    <n v="44"/>
    <x v="1"/>
    <n v="0"/>
    <x v="1"/>
    <n v="0"/>
    <n v="0"/>
    <x v="2"/>
    <s v="Pharma"/>
    <n v="16"/>
    <n v="354536069"/>
    <s v="A"/>
    <d v="2020-01-18T00:00:00"/>
    <d v="2020-01-26T00:00:00"/>
    <d v="2026-01-31T00:00:00"/>
  </r>
  <r>
    <s v="LN00071"/>
    <s v="CUST0037"/>
    <x v="1"/>
    <s v="North"/>
    <s v="RM_4"/>
    <s v="OD"/>
    <n v="12752298"/>
    <x v="70"/>
    <n v="648633"/>
    <n v="0.95"/>
    <n v="13.76"/>
    <n v="30"/>
    <x v="0"/>
    <n v="0"/>
    <x v="0"/>
    <n v="0"/>
    <n v="4"/>
    <x v="2"/>
    <s v="Auto Parts"/>
    <n v="6"/>
    <n v="181108707"/>
    <s v="B"/>
    <d v="2023-06-10T00:00:00"/>
    <d v="2023-06-12T00:00:00"/>
    <d v="2026-01-31T00:00:00"/>
  </r>
  <r>
    <s v="LN00072"/>
    <s v="CUST0156"/>
    <x v="2"/>
    <s v="West"/>
    <s v="RM_1"/>
    <s v="Term Loan"/>
    <n v="8545916"/>
    <x v="71"/>
    <n v="1613796"/>
    <n v="0.81"/>
    <n v="10.63"/>
    <n v="3"/>
    <x v="0"/>
    <n v="0"/>
    <x v="0"/>
    <n v="0"/>
    <n v="0"/>
    <x v="3"/>
    <s v="FMCG"/>
    <n v="24"/>
    <n v="469485477"/>
    <s v="A"/>
    <d v="2021-06-14T00:00:00"/>
    <d v="2021-06-19T00:00:00"/>
    <d v="2026-01-31T00:00:00"/>
  </r>
  <r>
    <s v="LN00073"/>
    <s v="CUST0150"/>
    <x v="3"/>
    <s v="West"/>
    <s v="RM_4"/>
    <s v="LAP"/>
    <n v="2187203"/>
    <x v="72"/>
    <n v="368994"/>
    <n v="0.83"/>
    <n v="14.16"/>
    <n v="10"/>
    <x v="0"/>
    <n v="0"/>
    <x v="0"/>
    <n v="0"/>
    <n v="0"/>
    <x v="1"/>
    <s v="Electronics"/>
    <n v="15"/>
    <n v="57549454"/>
    <s v="A"/>
    <d v="2020-02-07T00:00:00"/>
    <d v="2020-02-11T00:00:00"/>
    <d v="2026-01-31T00:00:00"/>
  </r>
  <r>
    <s v="LN00074"/>
    <s v="CUST0005"/>
    <x v="0"/>
    <s v="South"/>
    <s v="RM_9"/>
    <s v="CC"/>
    <n v="14929873"/>
    <x v="73"/>
    <n v="1307133"/>
    <n v="0.91"/>
    <n v="14.28"/>
    <n v="27"/>
    <x v="0"/>
    <n v="0"/>
    <x v="0"/>
    <n v="0"/>
    <n v="1"/>
    <x v="2"/>
    <s v="FMCG"/>
    <n v="15"/>
    <n v="211029864"/>
    <s v="D"/>
    <d v="2022-07-15T00:00:00"/>
    <d v="2022-07-24T00:00:00"/>
    <d v="2026-01-31T00:00:00"/>
  </r>
  <r>
    <s v="LN00075"/>
    <s v="CUST0176"/>
    <x v="1"/>
    <s v="South"/>
    <s v="RM_3"/>
    <s v="OD"/>
    <n v="5946626"/>
    <x v="74"/>
    <n v="1461067"/>
    <n v="0.75"/>
    <n v="13.77"/>
    <n v="7"/>
    <x v="0"/>
    <n v="0"/>
    <x v="0"/>
    <n v="1"/>
    <n v="3"/>
    <x v="0"/>
    <s v="Electronics"/>
    <n v="18"/>
    <n v="320823700"/>
    <s v="B"/>
    <d v="2023-11-24T00:00:00"/>
    <d v="2023-11-25T00:00:00"/>
    <d v="2026-01-31T00:00:00"/>
  </r>
  <r>
    <s v="LN00076"/>
    <s v="CUST0180"/>
    <x v="0"/>
    <s v="North"/>
    <s v="RM_7"/>
    <s v="OD"/>
    <n v="13675272"/>
    <x v="75"/>
    <n v="4834463"/>
    <n v="0.65"/>
    <n v="10.27"/>
    <n v="25"/>
    <x v="0"/>
    <n v="0"/>
    <x v="0"/>
    <n v="1"/>
    <n v="2"/>
    <x v="0"/>
    <s v="Auto Parts"/>
    <n v="15"/>
    <n v="447971807"/>
    <s v="C"/>
    <d v="2023-09-06T00:00:00"/>
    <d v="2023-09-12T00:00:00"/>
    <d v="2026-01-31T00:00:00"/>
  </r>
  <r>
    <s v="LN00077"/>
    <s v="CUST0029"/>
    <x v="1"/>
    <s v="North"/>
    <s v="RM_1"/>
    <s v="OD"/>
    <n v="13085553"/>
    <x v="76"/>
    <n v="2585587"/>
    <n v="0.8"/>
    <n v="13.7"/>
    <n v="37"/>
    <x v="1"/>
    <n v="0"/>
    <x v="1"/>
    <n v="0"/>
    <n v="3"/>
    <x v="3"/>
    <s v="Electronics"/>
    <n v="4"/>
    <n v="199924117"/>
    <s v="A"/>
    <d v="2020-05-03T00:00:00"/>
    <d v="2020-05-13T00:00:00"/>
    <d v="2026-01-31T00:00:00"/>
  </r>
  <r>
    <s v="LN00078"/>
    <s v="CUST0121"/>
    <x v="3"/>
    <s v="West"/>
    <s v="RM_5"/>
    <s v="LAP"/>
    <n v="6298504"/>
    <x v="77"/>
    <n v="617509"/>
    <n v="0.9"/>
    <n v="11.19"/>
    <n v="2"/>
    <x v="0"/>
    <n v="0"/>
    <x v="0"/>
    <n v="0"/>
    <n v="1"/>
    <x v="0"/>
    <s v="Auto Parts"/>
    <n v="18"/>
    <n v="219149831"/>
    <s v="A"/>
    <d v="2021-08-29T00:00:00"/>
    <d v="2021-09-05T00:00:00"/>
    <d v="2026-01-31T00:00:00"/>
  </r>
  <r>
    <s v="LN00079"/>
    <s v="CUST0198"/>
    <x v="1"/>
    <s v="East"/>
    <s v="RM_7"/>
    <s v="Term Loan"/>
    <n v="10912825"/>
    <x v="78"/>
    <n v="1225653"/>
    <n v="0.89"/>
    <n v="10.050000000000001"/>
    <n v="22"/>
    <x v="0"/>
    <n v="0"/>
    <x v="0"/>
    <n v="0"/>
    <n v="5"/>
    <x v="2"/>
    <s v="Pharma"/>
    <n v="21"/>
    <n v="296942853"/>
    <s v="C"/>
    <d v="2021-03-26T00:00:00"/>
    <d v="2021-03-30T00:00:00"/>
    <d v="2026-01-31T00:00:00"/>
  </r>
  <r>
    <s v="LN00080"/>
    <s v="CUST0135"/>
    <x v="0"/>
    <s v="South"/>
    <s v="RM_9"/>
    <s v="CC"/>
    <n v="3248858"/>
    <x v="79"/>
    <n v="1029684"/>
    <n v="0.68"/>
    <n v="12.6"/>
    <n v="16"/>
    <x v="0"/>
    <n v="0"/>
    <x v="0"/>
    <n v="1"/>
    <n v="5"/>
    <x v="1"/>
    <s v="Auto Parts"/>
    <n v="22"/>
    <n v="43035120"/>
    <s v="C"/>
    <d v="2023-08-02T00:00:00"/>
    <d v="2023-08-06T00:00:00"/>
    <d v="2026-01-31T00:00:00"/>
  </r>
  <r>
    <s v="LN00081"/>
    <s v="CUST0197"/>
    <x v="3"/>
    <s v="West"/>
    <s v="RM_10"/>
    <s v="Term Loan"/>
    <n v="9938247"/>
    <x v="80"/>
    <n v="1056645"/>
    <n v="0.89"/>
    <n v="10.18"/>
    <n v="30"/>
    <x v="0"/>
    <n v="0"/>
    <x v="0"/>
    <n v="1"/>
    <n v="2"/>
    <x v="2"/>
    <s v="Textile"/>
    <n v="10"/>
    <n v="380572048"/>
    <s v="B"/>
    <d v="2020-06-02T00:00:00"/>
    <d v="2020-06-07T00:00:00"/>
    <d v="2026-01-31T00:00:00"/>
  </r>
  <r>
    <s v="LN00082"/>
    <s v="CUST0054"/>
    <x v="2"/>
    <s v="West"/>
    <s v="RM_6"/>
    <s v="CC"/>
    <n v="7432328"/>
    <x v="81"/>
    <n v="2196062"/>
    <n v="0.7"/>
    <n v="11.23"/>
    <n v="19"/>
    <x v="0"/>
    <n v="0"/>
    <x v="0"/>
    <n v="1"/>
    <n v="1"/>
    <x v="2"/>
    <s v="Auto Parts"/>
    <n v="12"/>
    <n v="154696943"/>
    <s v="A"/>
    <d v="2020-11-13T00:00:00"/>
    <d v="2020-11-16T00:00:00"/>
    <d v="2026-01-31T00:00:00"/>
  </r>
  <r>
    <s v="LN00083"/>
    <s v="CUST0125"/>
    <x v="0"/>
    <s v="East"/>
    <s v="RM_7"/>
    <s v="LAP"/>
    <n v="14620776"/>
    <x v="82"/>
    <n v="3566568"/>
    <n v="0.76"/>
    <n v="9.59"/>
    <n v="3"/>
    <x v="0"/>
    <n v="0"/>
    <x v="0"/>
    <n v="1"/>
    <n v="1"/>
    <x v="0"/>
    <s v="Textile"/>
    <n v="1"/>
    <n v="479321063"/>
    <s v="D"/>
    <d v="2021-08-17T00:00:00"/>
    <d v="2021-08-23T00:00:00"/>
    <d v="2026-01-31T00:00:00"/>
  </r>
  <r>
    <s v="LN00084"/>
    <s v="CUST0050"/>
    <x v="2"/>
    <s v="East"/>
    <s v="RM_10"/>
    <s v="LAP"/>
    <n v="9696323"/>
    <x v="83"/>
    <n v="2065655"/>
    <n v="0.79"/>
    <n v="13.88"/>
    <n v="23"/>
    <x v="0"/>
    <n v="0"/>
    <x v="0"/>
    <n v="0"/>
    <n v="3"/>
    <x v="0"/>
    <s v="Auto Parts"/>
    <n v="4"/>
    <n v="137655073"/>
    <s v="B"/>
    <d v="2020-11-11T00:00:00"/>
    <d v="2020-11-12T00:00:00"/>
    <d v="2026-01-31T00:00:00"/>
  </r>
  <r>
    <s v="LN00085"/>
    <s v="CUST0097"/>
    <x v="3"/>
    <s v="North"/>
    <s v="RM_3"/>
    <s v="LAP"/>
    <n v="12993311"/>
    <x v="84"/>
    <n v="3028057"/>
    <n v="0.77"/>
    <n v="13.9"/>
    <n v="5"/>
    <x v="0"/>
    <n v="0"/>
    <x v="0"/>
    <n v="0"/>
    <n v="3"/>
    <x v="0"/>
    <s v="Pharma"/>
    <n v="14"/>
    <n v="491579235"/>
    <s v="D"/>
    <d v="2023-10-29T00:00:00"/>
    <d v="2023-11-03T00:00:00"/>
    <d v="2026-01-31T00:00:00"/>
  </r>
  <r>
    <s v="LN00086"/>
    <s v="CUST0060"/>
    <x v="3"/>
    <s v="South"/>
    <s v="RM_7"/>
    <s v="CC"/>
    <n v="5271605"/>
    <x v="85"/>
    <n v="815451"/>
    <n v="0.85"/>
    <n v="10.09"/>
    <n v="11"/>
    <x v="0"/>
    <n v="0"/>
    <x v="0"/>
    <n v="0"/>
    <n v="0"/>
    <x v="2"/>
    <s v="Auto Parts"/>
    <n v="5"/>
    <n v="412001190"/>
    <s v="A"/>
    <d v="2022-04-07T00:00:00"/>
    <d v="2022-04-10T00:00:00"/>
    <d v="2026-01-31T00:00:00"/>
  </r>
  <r>
    <s v="LN00087"/>
    <s v="CUST0149"/>
    <x v="3"/>
    <s v="North"/>
    <s v="RM_10"/>
    <s v="OD"/>
    <n v="2723053"/>
    <x v="86"/>
    <n v="561175"/>
    <n v="0.79"/>
    <n v="12.1"/>
    <n v="43"/>
    <x v="1"/>
    <n v="0"/>
    <x v="1"/>
    <n v="0"/>
    <n v="3"/>
    <x v="2"/>
    <s v="FMCG"/>
    <n v="7"/>
    <n v="12723725"/>
    <s v="C"/>
    <d v="2021-09-21T00:00:00"/>
    <d v="2021-09-27T00:00:00"/>
    <d v="2026-01-31T00:00:00"/>
  </r>
  <r>
    <s v="LN00088"/>
    <s v="CUST0054"/>
    <x v="0"/>
    <s v="South"/>
    <s v="RM_3"/>
    <s v="LAP"/>
    <n v="8249261"/>
    <x v="87"/>
    <n v="447244"/>
    <n v="0.95"/>
    <n v="10.87"/>
    <n v="26"/>
    <x v="0"/>
    <n v="0"/>
    <x v="0"/>
    <n v="1"/>
    <n v="4"/>
    <x v="3"/>
    <s v="Electronics"/>
    <n v="16"/>
    <n v="14036504"/>
    <s v="A"/>
    <d v="2023-06-13T00:00:00"/>
    <d v="2023-06-18T00:00:00"/>
    <d v="2026-01-31T00:00:00"/>
  </r>
  <r>
    <s v="LN00089"/>
    <s v="CUST0091"/>
    <x v="0"/>
    <s v="North"/>
    <s v="RM_5"/>
    <s v="LAP"/>
    <n v="5191299"/>
    <x v="88"/>
    <n v="763037"/>
    <n v="0.85"/>
    <n v="12.24"/>
    <n v="28"/>
    <x v="0"/>
    <n v="0"/>
    <x v="0"/>
    <n v="1"/>
    <n v="4"/>
    <x v="1"/>
    <s v="Auto Parts"/>
    <n v="16"/>
    <n v="274981710"/>
    <s v="A"/>
    <d v="2020-10-25T00:00:00"/>
    <d v="2020-11-02T00:00:00"/>
    <d v="2026-01-31T00:00:00"/>
  </r>
  <r>
    <s v="LN00090"/>
    <s v="CUST0175"/>
    <x v="1"/>
    <s v="West"/>
    <s v="RM_9"/>
    <s v="LAP"/>
    <n v="13662101"/>
    <x v="89"/>
    <n v="903715"/>
    <n v="0.93"/>
    <n v="13.52"/>
    <n v="11"/>
    <x v="0"/>
    <n v="0"/>
    <x v="0"/>
    <n v="1"/>
    <n v="1"/>
    <x v="2"/>
    <s v="FMCG"/>
    <n v="13"/>
    <n v="23973992"/>
    <s v="C"/>
    <d v="2024-01-24T00:00:00"/>
    <d v="2024-01-26T00:00:00"/>
    <d v="2026-01-31T00:00:00"/>
  </r>
  <r>
    <s v="LN00091"/>
    <s v="CUST0138"/>
    <x v="1"/>
    <s v="North"/>
    <s v="RM_8"/>
    <s v="CC"/>
    <n v="14858281"/>
    <x v="90"/>
    <n v="2526631"/>
    <n v="0.83"/>
    <n v="9.0399999999999991"/>
    <n v="8"/>
    <x v="0"/>
    <n v="0"/>
    <x v="0"/>
    <n v="0"/>
    <n v="4"/>
    <x v="1"/>
    <s v="Electronics"/>
    <n v="17"/>
    <n v="85883795"/>
    <s v="D"/>
    <d v="2022-03-30T00:00:00"/>
    <d v="2022-04-03T00:00:00"/>
    <d v="2026-01-31T00:00:00"/>
  </r>
  <r>
    <s v="LN00092"/>
    <s v="CUST0131"/>
    <x v="1"/>
    <s v="West"/>
    <s v="RM_3"/>
    <s v="LAP"/>
    <n v="13572585"/>
    <x v="91"/>
    <n v="1863933"/>
    <n v="0.86"/>
    <n v="12.32"/>
    <n v="13"/>
    <x v="0"/>
    <n v="0"/>
    <x v="0"/>
    <n v="0"/>
    <n v="4"/>
    <x v="3"/>
    <s v="Pharma"/>
    <n v="18"/>
    <n v="395493068"/>
    <s v="C"/>
    <d v="2021-12-26T00:00:00"/>
    <d v="2022-01-04T00:00:00"/>
    <d v="2026-01-31T00:00:00"/>
  </r>
  <r>
    <s v="LN00093"/>
    <s v="CUST0169"/>
    <x v="1"/>
    <s v="East"/>
    <s v="RM_5"/>
    <s v="LAP"/>
    <n v="5812280"/>
    <x v="92"/>
    <n v="1864768"/>
    <n v="0.68"/>
    <n v="10.94"/>
    <n v="24"/>
    <x v="0"/>
    <n v="0"/>
    <x v="0"/>
    <n v="0"/>
    <n v="0"/>
    <x v="1"/>
    <s v="Auto Parts"/>
    <n v="7"/>
    <n v="19255081"/>
    <s v="D"/>
    <d v="2021-12-12T00:00:00"/>
    <d v="2021-12-19T00:00:00"/>
    <d v="2026-01-31T00:00:00"/>
  </r>
  <r>
    <s v="LN00094"/>
    <s v="CUST0038"/>
    <x v="3"/>
    <s v="North"/>
    <s v="RM_3"/>
    <s v="Term Loan"/>
    <n v="2888986"/>
    <x v="93"/>
    <n v="526537"/>
    <n v="0.82"/>
    <n v="9.36"/>
    <n v="28"/>
    <x v="0"/>
    <n v="0"/>
    <x v="0"/>
    <n v="0"/>
    <n v="3"/>
    <x v="3"/>
    <s v="Pharma"/>
    <n v="19"/>
    <n v="288157830"/>
    <s v="D"/>
    <d v="2022-10-19T00:00:00"/>
    <d v="2022-10-20T00:00:00"/>
    <d v="2026-01-31T00:00:00"/>
  </r>
  <r>
    <s v="LN00095"/>
    <s v="CUST0016"/>
    <x v="1"/>
    <s v="South"/>
    <s v="RM_8"/>
    <s v="Term Loan"/>
    <n v="5049711"/>
    <x v="94"/>
    <n v="581607"/>
    <n v="0.88"/>
    <n v="12.18"/>
    <n v="59"/>
    <x v="1"/>
    <n v="0"/>
    <x v="1"/>
    <n v="0"/>
    <n v="0"/>
    <x v="0"/>
    <s v="Auto Parts"/>
    <n v="5"/>
    <n v="285662688"/>
    <s v="A"/>
    <d v="2022-09-23T00:00:00"/>
    <d v="2022-09-27T00:00:00"/>
    <d v="2026-01-31T00:00:00"/>
  </r>
  <r>
    <s v="LN00096"/>
    <s v="CUST0137"/>
    <x v="1"/>
    <s v="East"/>
    <s v="RM_4"/>
    <s v="CC"/>
    <n v="2607186"/>
    <x v="95"/>
    <n v="791015"/>
    <n v="0.7"/>
    <n v="10.1"/>
    <n v="8"/>
    <x v="0"/>
    <n v="0"/>
    <x v="0"/>
    <n v="0"/>
    <n v="3"/>
    <x v="1"/>
    <s v="Pharma"/>
    <n v="15"/>
    <n v="309417597"/>
    <s v="A"/>
    <d v="2020-05-07T00:00:00"/>
    <d v="2020-05-09T00:00:00"/>
    <d v="2026-01-31T00:00:00"/>
  </r>
  <r>
    <s v="LN00097"/>
    <s v="CUST0008"/>
    <x v="2"/>
    <s v="North"/>
    <s v="RM_6"/>
    <s v="Term Loan"/>
    <n v="10639608"/>
    <x v="96"/>
    <n v="2865490"/>
    <n v="0.73"/>
    <n v="13.89"/>
    <n v="2"/>
    <x v="0"/>
    <n v="0"/>
    <x v="0"/>
    <n v="0"/>
    <n v="0"/>
    <x v="0"/>
    <s v="FMCG"/>
    <n v="11"/>
    <n v="335868871"/>
    <s v="B"/>
    <d v="2023-01-03T00:00:00"/>
    <d v="2023-01-13T00:00:00"/>
    <d v="2026-01-31T00:00:00"/>
  </r>
  <r>
    <s v="LN00098"/>
    <s v="CUST0180"/>
    <x v="2"/>
    <s v="West"/>
    <s v="RM_9"/>
    <s v="CC"/>
    <n v="4519236"/>
    <x v="97"/>
    <n v="243160"/>
    <n v="0.95"/>
    <n v="13.56"/>
    <n v="5"/>
    <x v="0"/>
    <n v="0"/>
    <x v="0"/>
    <n v="0"/>
    <n v="0"/>
    <x v="0"/>
    <s v="Auto Parts"/>
    <n v="3"/>
    <n v="449040679"/>
    <s v="D"/>
    <d v="2020-04-02T00:00:00"/>
    <d v="2020-04-08T00:00:00"/>
    <d v="2026-01-31T00:00:00"/>
  </r>
  <r>
    <s v="LN00099"/>
    <s v="CUST0192"/>
    <x v="2"/>
    <s v="West"/>
    <s v="RM_7"/>
    <s v="CC"/>
    <n v="13873580"/>
    <x v="98"/>
    <n v="1362246"/>
    <n v="0.9"/>
    <n v="11.53"/>
    <n v="2"/>
    <x v="0"/>
    <n v="0"/>
    <x v="0"/>
    <n v="0"/>
    <n v="2"/>
    <x v="1"/>
    <s v="Auto Parts"/>
    <n v="13"/>
    <n v="357631069"/>
    <s v="B"/>
    <d v="2023-11-23T00:00:00"/>
    <d v="2023-11-28T00:00:00"/>
    <d v="2026-01-31T00:00:00"/>
  </r>
  <r>
    <s v="LN00100"/>
    <s v="CUST0158"/>
    <x v="3"/>
    <s v="South"/>
    <s v="RM_2"/>
    <s v="Term Loan"/>
    <n v="11705077"/>
    <x v="99"/>
    <n v="3042373"/>
    <n v="0.74"/>
    <n v="9.73"/>
    <n v="16"/>
    <x v="0"/>
    <n v="0"/>
    <x v="0"/>
    <n v="1"/>
    <n v="1"/>
    <x v="2"/>
    <s v="Pharma"/>
    <n v="5"/>
    <n v="419705885"/>
    <s v="D"/>
    <d v="2022-05-04T00:00:00"/>
    <d v="2022-05-12T00:00:00"/>
    <d v="2026-01-31T00:00:00"/>
  </r>
  <r>
    <s v="LN00101"/>
    <s v="CUST0044"/>
    <x v="0"/>
    <s v="West"/>
    <s v="RM_1"/>
    <s v="LAP"/>
    <n v="13240689"/>
    <x v="100"/>
    <n v="3820477"/>
    <n v="0.71"/>
    <n v="9.5500000000000007"/>
    <n v="4"/>
    <x v="0"/>
    <n v="0"/>
    <x v="0"/>
    <n v="1"/>
    <n v="0"/>
    <x v="1"/>
    <s v="Textile"/>
    <n v="3"/>
    <n v="493276064"/>
    <s v="D"/>
    <d v="2020-11-08T00:00:00"/>
    <d v="2020-11-15T00:00:00"/>
    <d v="2026-01-31T00:00:00"/>
  </r>
  <r>
    <s v="LN00102"/>
    <s v="CUST0149"/>
    <x v="0"/>
    <s v="West"/>
    <s v="RM_9"/>
    <s v="Term Loan"/>
    <n v="10508912"/>
    <x v="101"/>
    <n v="563166"/>
    <n v="0.95"/>
    <n v="10.45"/>
    <n v="23"/>
    <x v="0"/>
    <n v="0"/>
    <x v="0"/>
    <n v="1"/>
    <n v="3"/>
    <x v="0"/>
    <s v="Pharma"/>
    <n v="13"/>
    <n v="94061249"/>
    <s v="C"/>
    <d v="2021-04-26T00:00:00"/>
    <d v="2021-05-03T00:00:00"/>
    <d v="2026-01-31T00:00:00"/>
  </r>
  <r>
    <s v="LN00103"/>
    <s v="CUST0061"/>
    <x v="1"/>
    <s v="South"/>
    <s v="RM_7"/>
    <s v="OD"/>
    <n v="5952795"/>
    <x v="102"/>
    <n v="1915381"/>
    <n v="0.68"/>
    <n v="9.35"/>
    <n v="14"/>
    <x v="0"/>
    <n v="0"/>
    <x v="0"/>
    <n v="0"/>
    <n v="5"/>
    <x v="0"/>
    <s v="Auto Parts"/>
    <n v="9"/>
    <n v="292106333"/>
    <s v="D"/>
    <d v="2023-08-10T00:00:00"/>
    <d v="2023-08-16T00:00:00"/>
    <d v="2026-01-31T00:00:00"/>
  </r>
  <r>
    <s v="LN00104"/>
    <s v="CUST0033"/>
    <x v="2"/>
    <s v="North"/>
    <s v="RM_8"/>
    <s v="CC"/>
    <n v="13672077"/>
    <x v="103"/>
    <n v="3396126"/>
    <n v="0.75"/>
    <n v="10.9"/>
    <n v="29"/>
    <x v="0"/>
    <n v="0"/>
    <x v="0"/>
    <n v="1"/>
    <n v="5"/>
    <x v="1"/>
    <s v="Pharma"/>
    <n v="16"/>
    <n v="250086504"/>
    <s v="C"/>
    <d v="2023-01-31T00:00:00"/>
    <d v="2023-02-10T00:00:00"/>
    <d v="2026-01-31T00:00:00"/>
  </r>
  <r>
    <s v="LN00105"/>
    <s v="CUST0050"/>
    <x v="1"/>
    <s v="South"/>
    <s v="RM_4"/>
    <s v="LAP"/>
    <n v="8510691"/>
    <x v="104"/>
    <n v="1304993"/>
    <n v="0.85"/>
    <n v="13.91"/>
    <n v="11"/>
    <x v="0"/>
    <n v="0"/>
    <x v="0"/>
    <n v="0"/>
    <n v="5"/>
    <x v="0"/>
    <s v="FMCG"/>
    <n v="8"/>
    <n v="380967641"/>
    <s v="B"/>
    <d v="2022-10-29T00:00:00"/>
    <d v="2022-10-31T00:00:00"/>
    <d v="2026-01-31T00:00:00"/>
  </r>
  <r>
    <s v="LN00106"/>
    <s v="CUST0084"/>
    <x v="0"/>
    <s v="South"/>
    <s v="RM_5"/>
    <s v="Term Loan"/>
    <n v="11078607"/>
    <x v="105"/>
    <n v="3081632"/>
    <n v="0.72"/>
    <n v="13.53"/>
    <n v="0"/>
    <x v="0"/>
    <n v="0"/>
    <x v="0"/>
    <n v="0"/>
    <n v="2"/>
    <x v="3"/>
    <s v="Textile"/>
    <n v="21"/>
    <n v="497291461"/>
    <s v="A"/>
    <d v="2023-01-14T00:00:00"/>
    <d v="2023-01-22T00:00:00"/>
    <d v="2026-01-31T00:00:00"/>
  </r>
  <r>
    <s v="LN00107"/>
    <s v="CUST0025"/>
    <x v="0"/>
    <s v="West"/>
    <s v="RM_9"/>
    <s v="LAP"/>
    <n v="12449394"/>
    <x v="106"/>
    <n v="1741539"/>
    <n v="0.86"/>
    <n v="12.62"/>
    <n v="17"/>
    <x v="0"/>
    <n v="0"/>
    <x v="0"/>
    <n v="0"/>
    <n v="1"/>
    <x v="3"/>
    <s v="FMCG"/>
    <n v="2"/>
    <n v="16069811"/>
    <s v="C"/>
    <d v="2023-08-04T00:00:00"/>
    <d v="2023-08-11T00:00:00"/>
    <d v="2026-01-31T00:00:00"/>
  </r>
  <r>
    <s v="LN00108"/>
    <s v="CUST0003"/>
    <x v="3"/>
    <s v="North"/>
    <s v="RM_9"/>
    <s v="OD"/>
    <n v="4043078"/>
    <x v="107"/>
    <n v="1419411"/>
    <n v="0.65"/>
    <n v="10.83"/>
    <n v="28"/>
    <x v="0"/>
    <n v="0"/>
    <x v="0"/>
    <n v="1"/>
    <n v="4"/>
    <x v="0"/>
    <s v="Electronics"/>
    <n v="8"/>
    <n v="472840153"/>
    <s v="D"/>
    <d v="2021-06-17T00:00:00"/>
    <d v="2021-06-21T00:00:00"/>
    <d v="2026-01-31T00:00:00"/>
  </r>
  <r>
    <s v="LN00109"/>
    <s v="CUST0091"/>
    <x v="0"/>
    <s v="South"/>
    <s v="RM_9"/>
    <s v="CC"/>
    <n v="11258109"/>
    <x v="108"/>
    <n v="3880342"/>
    <n v="0.66"/>
    <n v="10.17"/>
    <n v="8"/>
    <x v="0"/>
    <n v="0"/>
    <x v="0"/>
    <n v="1"/>
    <n v="0"/>
    <x v="3"/>
    <s v="Electronics"/>
    <n v="9"/>
    <n v="120790152"/>
    <s v="C"/>
    <d v="2020-01-05T00:00:00"/>
    <d v="2020-01-08T00:00:00"/>
    <d v="2026-01-31T00:00:00"/>
  </r>
  <r>
    <s v="LN00110"/>
    <s v="CUST0099"/>
    <x v="1"/>
    <s v="West"/>
    <s v="RM_5"/>
    <s v="Term Loan"/>
    <n v="2431546"/>
    <x v="109"/>
    <n v="884109"/>
    <n v="0.64"/>
    <n v="9.8000000000000007"/>
    <n v="7"/>
    <x v="0"/>
    <n v="0"/>
    <x v="0"/>
    <n v="1"/>
    <n v="3"/>
    <x v="3"/>
    <s v="Electronics"/>
    <n v="9"/>
    <n v="22584210"/>
    <s v="B"/>
    <d v="2021-06-12T00:00:00"/>
    <d v="2021-06-20T00:00:00"/>
    <d v="2026-01-31T00:00:00"/>
  </r>
  <r>
    <s v="LN00111"/>
    <s v="CUST0009"/>
    <x v="3"/>
    <s v="South"/>
    <s v="RM_4"/>
    <s v="OD"/>
    <n v="4244956"/>
    <x v="110"/>
    <n v="869908"/>
    <n v="0.8"/>
    <n v="13.06"/>
    <n v="16"/>
    <x v="0"/>
    <n v="0"/>
    <x v="0"/>
    <n v="1"/>
    <n v="1"/>
    <x v="0"/>
    <s v="Electronics"/>
    <n v="1"/>
    <n v="471570779"/>
    <s v="D"/>
    <d v="2023-01-06T00:00:00"/>
    <d v="2023-01-12T00:00:00"/>
    <d v="2026-01-31T00:00:00"/>
  </r>
  <r>
    <s v="LN00112"/>
    <s v="CUST0193"/>
    <x v="0"/>
    <s v="South"/>
    <s v="RM_3"/>
    <s v="LAP"/>
    <n v="12796432"/>
    <x v="111"/>
    <n v="1804970"/>
    <n v="0.86"/>
    <n v="14.08"/>
    <n v="9"/>
    <x v="0"/>
    <n v="0"/>
    <x v="0"/>
    <n v="1"/>
    <n v="4"/>
    <x v="0"/>
    <s v="Textile"/>
    <n v="20"/>
    <n v="77819163"/>
    <s v="B"/>
    <d v="2022-08-13T00:00:00"/>
    <d v="2022-08-15T00:00:00"/>
    <d v="2026-01-31T00:00:00"/>
  </r>
  <r>
    <s v="LN00113"/>
    <s v="CUST0117"/>
    <x v="1"/>
    <s v="South"/>
    <s v="RM_3"/>
    <s v="OD"/>
    <n v="4318183"/>
    <x v="112"/>
    <n v="707801"/>
    <n v="0.84"/>
    <n v="11.83"/>
    <n v="27"/>
    <x v="0"/>
    <n v="0"/>
    <x v="0"/>
    <n v="1"/>
    <n v="2"/>
    <x v="3"/>
    <s v="Auto Parts"/>
    <n v="3"/>
    <n v="55100257"/>
    <s v="B"/>
    <d v="2024-01-03T00:00:00"/>
    <d v="2024-01-13T00:00:00"/>
    <d v="2026-01-31T00:00:00"/>
  </r>
  <r>
    <s v="LN00114"/>
    <s v="CUST0187"/>
    <x v="2"/>
    <s v="East"/>
    <s v="RM_6"/>
    <s v="CC"/>
    <n v="2575767"/>
    <x v="113"/>
    <n v="437515"/>
    <n v="0.83"/>
    <n v="11.37"/>
    <n v="21"/>
    <x v="0"/>
    <n v="0"/>
    <x v="0"/>
    <n v="1"/>
    <n v="2"/>
    <x v="1"/>
    <s v="Textile"/>
    <n v="7"/>
    <n v="496739871"/>
    <s v="D"/>
    <d v="2020-04-14T00:00:00"/>
    <d v="2020-04-19T00:00:00"/>
    <d v="2026-01-31T00:00:00"/>
  </r>
  <r>
    <s v="LN00115"/>
    <s v="CUST0054"/>
    <x v="0"/>
    <s v="North"/>
    <s v="RM_6"/>
    <s v="OD"/>
    <n v="12086051"/>
    <x v="114"/>
    <n v="1237352"/>
    <n v="0.9"/>
    <n v="12.89"/>
    <n v="6"/>
    <x v="0"/>
    <n v="0"/>
    <x v="0"/>
    <n v="0"/>
    <n v="2"/>
    <x v="0"/>
    <s v="FMCG"/>
    <n v="16"/>
    <n v="441040276"/>
    <s v="C"/>
    <d v="2023-10-20T00:00:00"/>
    <d v="2023-10-22T00:00:00"/>
    <d v="2026-01-31T00:00:00"/>
  </r>
  <r>
    <s v="LN00116"/>
    <s v="CUST0159"/>
    <x v="2"/>
    <s v="North"/>
    <s v="RM_6"/>
    <s v="CC"/>
    <n v="3538821"/>
    <x v="115"/>
    <n v="710259"/>
    <n v="0.8"/>
    <n v="12.52"/>
    <n v="19"/>
    <x v="0"/>
    <n v="0"/>
    <x v="0"/>
    <n v="1"/>
    <n v="2"/>
    <x v="1"/>
    <s v="Textile"/>
    <n v="11"/>
    <n v="313892084"/>
    <s v="B"/>
    <d v="2023-01-10T00:00:00"/>
    <d v="2023-01-17T00:00:00"/>
    <d v="2026-01-31T00:00:00"/>
  </r>
  <r>
    <s v="LN00117"/>
    <s v="CUST0172"/>
    <x v="0"/>
    <s v="North"/>
    <s v="RM_4"/>
    <s v="CC"/>
    <n v="11869386"/>
    <x v="116"/>
    <n v="1970576"/>
    <n v="0.83"/>
    <n v="11.54"/>
    <n v="18"/>
    <x v="0"/>
    <n v="0"/>
    <x v="0"/>
    <n v="0"/>
    <n v="5"/>
    <x v="3"/>
    <s v="FMCG"/>
    <n v="19"/>
    <n v="200615092"/>
    <s v="A"/>
    <d v="2024-01-21T00:00:00"/>
    <d v="2024-01-24T00:00:00"/>
    <d v="2026-01-31T00:00:00"/>
  </r>
  <r>
    <s v="LN00118"/>
    <s v="CUST0177"/>
    <x v="0"/>
    <s v="North"/>
    <s v="RM_3"/>
    <s v="Term Loan"/>
    <n v="13198765"/>
    <x v="117"/>
    <n v="2497178"/>
    <n v="0.81"/>
    <n v="11.94"/>
    <n v="26"/>
    <x v="0"/>
    <n v="0"/>
    <x v="0"/>
    <n v="0"/>
    <n v="2"/>
    <x v="1"/>
    <s v="Electronics"/>
    <n v="9"/>
    <n v="164179025"/>
    <s v="C"/>
    <d v="2020-07-24T00:00:00"/>
    <d v="2020-07-31T00:00:00"/>
    <d v="2026-01-31T00:00:00"/>
  </r>
  <r>
    <s v="LN00119"/>
    <s v="CUST0012"/>
    <x v="1"/>
    <s v="West"/>
    <s v="RM_5"/>
    <s v="LAP"/>
    <n v="8568248"/>
    <x v="118"/>
    <n v="1324930"/>
    <n v="0.85"/>
    <n v="14.21"/>
    <n v="6"/>
    <x v="0"/>
    <n v="0"/>
    <x v="0"/>
    <n v="1"/>
    <n v="1"/>
    <x v="1"/>
    <s v="Pharma"/>
    <n v="13"/>
    <n v="104915818"/>
    <s v="C"/>
    <d v="2020-04-18T00:00:00"/>
    <d v="2020-04-19T00:00:00"/>
    <d v="2026-01-31T00:00:00"/>
  </r>
  <r>
    <s v="LN00120"/>
    <s v="CUST0134"/>
    <x v="0"/>
    <s v="North"/>
    <s v="RM_5"/>
    <s v="LAP"/>
    <n v="10003097"/>
    <x v="119"/>
    <n v="3306557"/>
    <n v="0.67"/>
    <n v="13.21"/>
    <n v="19"/>
    <x v="0"/>
    <n v="0"/>
    <x v="0"/>
    <n v="1"/>
    <n v="0"/>
    <x v="3"/>
    <s v="Electronics"/>
    <n v="12"/>
    <n v="9384343"/>
    <s v="C"/>
    <d v="2023-10-04T00:00:00"/>
    <d v="2023-10-09T00:00:00"/>
    <d v="2026-01-31T00:00:00"/>
  </r>
  <r>
    <s v="LN00121"/>
    <s v="CUST0008"/>
    <x v="3"/>
    <s v="North"/>
    <s v="RM_9"/>
    <s v="OD"/>
    <n v="9068839"/>
    <x v="120"/>
    <n v="2721795"/>
    <n v="0.7"/>
    <n v="10.1"/>
    <n v="45"/>
    <x v="1"/>
    <n v="0"/>
    <x v="1"/>
    <n v="0"/>
    <n v="2"/>
    <x v="1"/>
    <s v="FMCG"/>
    <n v="18"/>
    <n v="346593449"/>
    <s v="C"/>
    <d v="2021-05-12T00:00:00"/>
    <d v="2021-05-14T00:00:00"/>
    <d v="2026-01-31T00:00:00"/>
  </r>
  <r>
    <s v="LN00122"/>
    <s v="CUST0114"/>
    <x v="1"/>
    <s v="South"/>
    <s v="RM_5"/>
    <s v="OD"/>
    <n v="11171855"/>
    <x v="121"/>
    <n v="2308350"/>
    <n v="0.79"/>
    <n v="11.9"/>
    <n v="8"/>
    <x v="0"/>
    <n v="0"/>
    <x v="0"/>
    <n v="0"/>
    <n v="5"/>
    <x v="1"/>
    <s v="Electronics"/>
    <n v="14"/>
    <n v="19937237"/>
    <s v="D"/>
    <d v="2020-04-25T00:00:00"/>
    <d v="2020-05-03T00:00:00"/>
    <d v="2026-01-31T00:00:00"/>
  </r>
  <r>
    <s v="LN00123"/>
    <s v="CUST0015"/>
    <x v="1"/>
    <s v="East"/>
    <s v="RM_1"/>
    <s v="LAP"/>
    <n v="7965826"/>
    <x v="122"/>
    <n v="922441"/>
    <n v="0.88"/>
    <n v="13.32"/>
    <n v="4"/>
    <x v="0"/>
    <n v="0"/>
    <x v="0"/>
    <n v="0"/>
    <n v="2"/>
    <x v="3"/>
    <s v="Textile"/>
    <n v="24"/>
    <n v="123157653"/>
    <s v="A"/>
    <d v="2022-07-27T00:00:00"/>
    <d v="2022-08-03T00:00:00"/>
    <d v="2026-01-31T00:00:00"/>
  </r>
  <r>
    <s v="LN00124"/>
    <s v="CUST0141"/>
    <x v="2"/>
    <s v="South"/>
    <s v="RM_3"/>
    <s v="LAP"/>
    <n v="12965818"/>
    <x v="123"/>
    <n v="3701457"/>
    <n v="0.71"/>
    <n v="10.63"/>
    <n v="12"/>
    <x v="0"/>
    <n v="0"/>
    <x v="0"/>
    <n v="1"/>
    <n v="0"/>
    <x v="1"/>
    <s v="Textile"/>
    <n v="14"/>
    <n v="484272896"/>
    <s v="C"/>
    <d v="2023-09-14T00:00:00"/>
    <d v="2023-09-15T00:00:00"/>
    <d v="2026-01-31T00:00:00"/>
  </r>
  <r>
    <s v="LN00125"/>
    <s v="CUST0150"/>
    <x v="1"/>
    <s v="South"/>
    <s v="RM_6"/>
    <s v="Term Loan"/>
    <n v="12313041"/>
    <x v="124"/>
    <n v="3464962"/>
    <n v="0.72"/>
    <n v="13.65"/>
    <n v="25"/>
    <x v="0"/>
    <n v="0"/>
    <x v="0"/>
    <n v="0"/>
    <n v="4"/>
    <x v="0"/>
    <s v="Auto Parts"/>
    <n v="16"/>
    <n v="305407815"/>
    <s v="D"/>
    <d v="2023-12-16T00:00:00"/>
    <d v="2023-12-18T00:00:00"/>
    <d v="2026-01-31T00:00:00"/>
  </r>
  <r>
    <s v="LN00126"/>
    <s v="CUST0001"/>
    <x v="1"/>
    <s v="South"/>
    <s v="RM_8"/>
    <s v="LAP"/>
    <n v="5751316"/>
    <x v="125"/>
    <n v="657945"/>
    <n v="0.89"/>
    <n v="13.95"/>
    <n v="149"/>
    <x v="2"/>
    <n v="1"/>
    <x v="2"/>
    <n v="0"/>
    <n v="5"/>
    <x v="3"/>
    <s v="FMCG"/>
    <n v="6"/>
    <n v="432980686"/>
    <s v="C"/>
    <d v="2020-03-15T00:00:00"/>
    <d v="2020-03-24T00:00:00"/>
    <d v="2026-01-31T00:00:00"/>
  </r>
  <r>
    <s v="LN00127"/>
    <s v="CUST0051"/>
    <x v="0"/>
    <s v="South"/>
    <s v="RM_9"/>
    <s v="OD"/>
    <n v="14440496"/>
    <x v="126"/>
    <n v="1664527"/>
    <n v="0.88"/>
    <n v="11.34"/>
    <n v="30"/>
    <x v="0"/>
    <n v="0"/>
    <x v="0"/>
    <n v="1"/>
    <n v="2"/>
    <x v="2"/>
    <s v="Pharma"/>
    <n v="12"/>
    <n v="234645134"/>
    <s v="A"/>
    <d v="2022-09-19T00:00:00"/>
    <d v="2022-09-24T00:00:00"/>
    <d v="2026-01-31T00:00:00"/>
  </r>
  <r>
    <s v="LN00128"/>
    <s v="CUST0057"/>
    <x v="3"/>
    <s v="South"/>
    <s v="RM_3"/>
    <s v="Term Loan"/>
    <n v="6094016"/>
    <x v="127"/>
    <n v="944798"/>
    <n v="0.84"/>
    <n v="9.58"/>
    <n v="3"/>
    <x v="0"/>
    <n v="0"/>
    <x v="0"/>
    <n v="1"/>
    <n v="2"/>
    <x v="3"/>
    <s v="Textile"/>
    <n v="4"/>
    <n v="52666031"/>
    <s v="D"/>
    <d v="2022-09-13T00:00:00"/>
    <d v="2022-09-22T00:00:00"/>
    <d v="2026-01-31T00:00:00"/>
  </r>
  <r>
    <s v="LN00129"/>
    <s v="CUST0066"/>
    <x v="1"/>
    <s v="South"/>
    <s v="RM_6"/>
    <s v="OD"/>
    <n v="2772771"/>
    <x v="128"/>
    <n v="295975"/>
    <n v="0.89"/>
    <n v="10.98"/>
    <n v="1"/>
    <x v="0"/>
    <n v="0"/>
    <x v="0"/>
    <n v="1"/>
    <n v="3"/>
    <x v="3"/>
    <s v="Textile"/>
    <n v="21"/>
    <n v="399028965"/>
    <s v="D"/>
    <d v="2022-04-13T00:00:00"/>
    <d v="2022-04-23T00:00:00"/>
    <d v="2026-01-31T00:00:00"/>
  </r>
  <r>
    <s v="LN00130"/>
    <s v="CUST0133"/>
    <x v="2"/>
    <s v="North"/>
    <s v="RM_1"/>
    <s v="OD"/>
    <n v="12935803"/>
    <x v="129"/>
    <n v="1747650"/>
    <n v="0.86"/>
    <n v="9.3800000000000008"/>
    <n v="21"/>
    <x v="0"/>
    <n v="0"/>
    <x v="0"/>
    <n v="0"/>
    <n v="0"/>
    <x v="3"/>
    <s v="FMCG"/>
    <n v="18"/>
    <n v="275874074"/>
    <s v="C"/>
    <d v="2020-03-02T00:00:00"/>
    <d v="2020-03-03T00:00:00"/>
    <d v="2026-01-31T00:00:00"/>
  </r>
  <r>
    <s v="LN00131"/>
    <s v="CUST0030"/>
    <x v="2"/>
    <s v="North"/>
    <s v="RM_9"/>
    <s v="Term Loan"/>
    <n v="10429625"/>
    <x v="130"/>
    <n v="4014516"/>
    <n v="0.62"/>
    <n v="9.0299999999999994"/>
    <n v="2"/>
    <x v="0"/>
    <n v="0"/>
    <x v="0"/>
    <n v="1"/>
    <n v="2"/>
    <x v="0"/>
    <s v="Auto Parts"/>
    <n v="5"/>
    <n v="276575754"/>
    <s v="D"/>
    <d v="2022-10-09T00:00:00"/>
    <d v="2022-10-16T00:00:00"/>
    <d v="2026-01-31T00:00:00"/>
  </r>
  <r>
    <s v="LN00132"/>
    <s v="CUST0017"/>
    <x v="3"/>
    <s v="West"/>
    <s v="RM_9"/>
    <s v="Term Loan"/>
    <n v="8441573"/>
    <x v="131"/>
    <n v="2252237"/>
    <n v="0.73"/>
    <n v="14.33"/>
    <n v="86"/>
    <x v="3"/>
    <n v="0"/>
    <x v="2"/>
    <n v="1"/>
    <n v="3"/>
    <x v="1"/>
    <s v="Auto Parts"/>
    <n v="6"/>
    <n v="273281979"/>
    <s v="A"/>
    <d v="2021-04-27T00:00:00"/>
    <d v="2021-05-06T00:00:00"/>
    <d v="2026-01-31T00:00:00"/>
  </r>
  <r>
    <s v="LN00133"/>
    <s v="CUST0163"/>
    <x v="2"/>
    <s v="North"/>
    <s v="RM_10"/>
    <s v="LAP"/>
    <n v="8946106"/>
    <x v="132"/>
    <n v="2232896"/>
    <n v="0.75"/>
    <n v="10.28"/>
    <n v="29"/>
    <x v="0"/>
    <n v="0"/>
    <x v="0"/>
    <n v="0"/>
    <n v="5"/>
    <x v="3"/>
    <s v="FMCG"/>
    <n v="5"/>
    <n v="79140380"/>
    <s v="D"/>
    <d v="2022-08-13T00:00:00"/>
    <d v="2022-08-22T00:00:00"/>
    <d v="2026-01-31T00:00:00"/>
  </r>
  <r>
    <s v="LN00134"/>
    <s v="CUST0179"/>
    <x v="3"/>
    <s v="North"/>
    <s v="RM_8"/>
    <s v="OD"/>
    <n v="8230537"/>
    <x v="133"/>
    <n v="2736716"/>
    <n v="0.67"/>
    <n v="9.89"/>
    <n v="19"/>
    <x v="0"/>
    <n v="0"/>
    <x v="0"/>
    <n v="1"/>
    <n v="0"/>
    <x v="1"/>
    <s v="Pharma"/>
    <n v="10"/>
    <n v="197335069"/>
    <s v="A"/>
    <d v="2023-10-03T00:00:00"/>
    <d v="2023-10-10T00:00:00"/>
    <d v="2026-01-31T00:00:00"/>
  </r>
  <r>
    <s v="LN00135"/>
    <s v="CUST0182"/>
    <x v="0"/>
    <s v="South"/>
    <s v="RM_1"/>
    <s v="Term Loan"/>
    <n v="4216508"/>
    <x v="134"/>
    <n v="213076"/>
    <n v="0.95"/>
    <n v="12.28"/>
    <n v="25"/>
    <x v="0"/>
    <n v="0"/>
    <x v="0"/>
    <n v="1"/>
    <n v="1"/>
    <x v="1"/>
    <s v="Pharma"/>
    <n v="3"/>
    <n v="305476406"/>
    <s v="A"/>
    <d v="2020-05-04T00:00:00"/>
    <d v="2020-05-07T00:00:00"/>
    <d v="2026-01-31T00:00:00"/>
  </r>
  <r>
    <s v="LN00136"/>
    <s v="CUST0052"/>
    <x v="2"/>
    <s v="North"/>
    <s v="RM_2"/>
    <s v="OD"/>
    <n v="13662121"/>
    <x v="135"/>
    <n v="4646806"/>
    <n v="0.66"/>
    <n v="9.7899999999999991"/>
    <n v="20"/>
    <x v="0"/>
    <n v="0"/>
    <x v="0"/>
    <n v="0"/>
    <n v="0"/>
    <x v="2"/>
    <s v="Textile"/>
    <n v="21"/>
    <n v="355044941"/>
    <s v="B"/>
    <d v="2023-11-02T00:00:00"/>
    <d v="2023-11-03T00:00:00"/>
    <d v="2026-01-31T00:00:00"/>
  </r>
  <r>
    <s v="LN00137"/>
    <s v="CUST0125"/>
    <x v="1"/>
    <s v="South"/>
    <s v="RM_7"/>
    <s v="Term Loan"/>
    <n v="11133532"/>
    <x v="136"/>
    <n v="2430981"/>
    <n v="0.78"/>
    <n v="13.75"/>
    <n v="5"/>
    <x v="0"/>
    <n v="0"/>
    <x v="0"/>
    <n v="0"/>
    <n v="0"/>
    <x v="3"/>
    <s v="Electronics"/>
    <n v="11"/>
    <n v="481920573"/>
    <s v="B"/>
    <d v="2022-08-17T00:00:00"/>
    <d v="2022-08-22T00:00:00"/>
    <d v="2026-01-31T00:00:00"/>
  </r>
  <r>
    <s v="LN00138"/>
    <s v="CUST0111"/>
    <x v="3"/>
    <s v="South"/>
    <s v="RM_1"/>
    <s v="CC"/>
    <n v="4763514"/>
    <x v="137"/>
    <n v="528002"/>
    <n v="0.89"/>
    <n v="14.49"/>
    <n v="23"/>
    <x v="0"/>
    <n v="0"/>
    <x v="0"/>
    <n v="1"/>
    <n v="1"/>
    <x v="0"/>
    <s v="Pharma"/>
    <n v="7"/>
    <n v="126932913"/>
    <s v="C"/>
    <d v="2021-12-01T00:00:00"/>
    <d v="2021-12-05T00:00:00"/>
    <d v="2026-01-31T00:00:00"/>
  </r>
  <r>
    <s v="LN00139"/>
    <s v="CUST0103"/>
    <x v="3"/>
    <s v="East"/>
    <s v="RM_4"/>
    <s v="OD"/>
    <n v="10354299"/>
    <x v="138"/>
    <n v="1835965"/>
    <n v="0.82"/>
    <n v="12.09"/>
    <n v="14"/>
    <x v="0"/>
    <n v="0"/>
    <x v="0"/>
    <n v="1"/>
    <n v="3"/>
    <x v="2"/>
    <s v="Textile"/>
    <n v="14"/>
    <n v="260237144"/>
    <s v="A"/>
    <d v="2020-06-09T00:00:00"/>
    <d v="2020-06-19T00:00:00"/>
    <d v="2026-01-31T00:00:00"/>
  </r>
  <r>
    <s v="LN00140"/>
    <s v="CUST0125"/>
    <x v="0"/>
    <s v="West"/>
    <s v="RM_9"/>
    <s v="LAP"/>
    <n v="13737709"/>
    <x v="139"/>
    <n v="3155014"/>
    <n v="0.77"/>
    <n v="11.15"/>
    <n v="24"/>
    <x v="0"/>
    <n v="0"/>
    <x v="0"/>
    <n v="1"/>
    <n v="2"/>
    <x v="3"/>
    <s v="Auto Parts"/>
    <n v="13"/>
    <n v="269928362"/>
    <s v="D"/>
    <d v="2021-02-24T00:00:00"/>
    <d v="2021-02-25T00:00:00"/>
    <d v="2026-01-31T00:00:00"/>
  </r>
  <r>
    <s v="LN00141"/>
    <s v="CUST0053"/>
    <x v="3"/>
    <s v="South"/>
    <s v="RM_7"/>
    <s v="LAP"/>
    <n v="9633456"/>
    <x v="140"/>
    <n v="1375006"/>
    <n v="0.86"/>
    <n v="9.34"/>
    <n v="22"/>
    <x v="0"/>
    <n v="0"/>
    <x v="0"/>
    <n v="1"/>
    <n v="0"/>
    <x v="0"/>
    <s v="Pharma"/>
    <n v="13"/>
    <n v="101343412"/>
    <s v="C"/>
    <d v="2023-05-16T00:00:00"/>
    <d v="2023-05-17T00:00:00"/>
    <d v="2026-01-31T00:00:00"/>
  </r>
  <r>
    <s v="LN00142"/>
    <s v="CUST0132"/>
    <x v="1"/>
    <s v="East"/>
    <s v="RM_5"/>
    <s v="Term Loan"/>
    <n v="10438114"/>
    <x v="141"/>
    <n v="1172067"/>
    <n v="0.89"/>
    <n v="9.4700000000000006"/>
    <n v="134"/>
    <x v="2"/>
    <n v="1"/>
    <x v="2"/>
    <n v="1"/>
    <n v="0"/>
    <x v="1"/>
    <s v="Electronics"/>
    <n v="13"/>
    <n v="281443547"/>
    <s v="A"/>
    <d v="2022-02-18T00:00:00"/>
    <d v="2022-02-28T00:00:00"/>
    <d v="2026-01-31T00:00:00"/>
  </r>
  <r>
    <s v="LN00143"/>
    <s v="CUST0036"/>
    <x v="1"/>
    <s v="South"/>
    <s v="RM_7"/>
    <s v="Term Loan"/>
    <n v="12742854"/>
    <x v="142"/>
    <n v="2646959"/>
    <n v="0.79"/>
    <n v="11.46"/>
    <n v="5"/>
    <x v="0"/>
    <n v="0"/>
    <x v="0"/>
    <n v="0"/>
    <n v="1"/>
    <x v="0"/>
    <s v="Auto Parts"/>
    <n v="13"/>
    <n v="353201622"/>
    <s v="C"/>
    <d v="2021-04-27T00:00:00"/>
    <d v="2021-05-05T00:00:00"/>
    <d v="2026-01-31T00:00:00"/>
  </r>
  <r>
    <s v="LN00144"/>
    <s v="CUST0006"/>
    <x v="1"/>
    <s v="West"/>
    <s v="RM_2"/>
    <s v="OD"/>
    <n v="2797698"/>
    <x v="143"/>
    <n v="688738"/>
    <n v="0.75"/>
    <n v="14.07"/>
    <n v="24"/>
    <x v="0"/>
    <n v="0"/>
    <x v="0"/>
    <n v="1"/>
    <n v="4"/>
    <x v="3"/>
    <s v="Textile"/>
    <n v="16"/>
    <n v="410223506"/>
    <s v="C"/>
    <d v="2020-03-04T00:00:00"/>
    <d v="2020-03-08T00:00:00"/>
    <d v="2026-01-31T00:00:00"/>
  </r>
  <r>
    <s v="LN00145"/>
    <s v="CUST0063"/>
    <x v="2"/>
    <s v="South"/>
    <s v="RM_5"/>
    <s v="LAP"/>
    <n v="6048351"/>
    <x v="144"/>
    <n v="1230362"/>
    <n v="0.8"/>
    <n v="11.64"/>
    <n v="12"/>
    <x v="0"/>
    <n v="0"/>
    <x v="0"/>
    <n v="1"/>
    <n v="1"/>
    <x v="0"/>
    <s v="FMCG"/>
    <n v="21"/>
    <n v="172231094"/>
    <s v="D"/>
    <d v="2024-01-17T00:00:00"/>
    <d v="2024-01-19T00:00:00"/>
    <d v="2026-01-31T00:00:00"/>
  </r>
  <r>
    <s v="LN00146"/>
    <s v="CUST0051"/>
    <x v="1"/>
    <s v="South"/>
    <s v="RM_6"/>
    <s v="Term Loan"/>
    <n v="6643037"/>
    <x v="145"/>
    <n v="1266295"/>
    <n v="0.81"/>
    <n v="11.35"/>
    <n v="29"/>
    <x v="0"/>
    <n v="0"/>
    <x v="0"/>
    <n v="0"/>
    <n v="5"/>
    <x v="1"/>
    <s v="Pharma"/>
    <n v="24"/>
    <n v="126358330"/>
    <s v="C"/>
    <d v="2021-10-12T00:00:00"/>
    <d v="2021-10-19T00:00:00"/>
    <d v="2026-01-31T00:00:00"/>
  </r>
  <r>
    <s v="LN00147"/>
    <s v="CUST0126"/>
    <x v="3"/>
    <s v="West"/>
    <s v="RM_6"/>
    <s v="CC"/>
    <n v="13640166"/>
    <x v="146"/>
    <n v="2655801"/>
    <n v="0.81"/>
    <n v="13.36"/>
    <n v="29"/>
    <x v="0"/>
    <n v="0"/>
    <x v="0"/>
    <n v="1"/>
    <n v="0"/>
    <x v="2"/>
    <s v="Textile"/>
    <n v="25"/>
    <n v="457896319"/>
    <s v="D"/>
    <d v="2023-08-27T00:00:00"/>
    <d v="2023-08-29T00:00:00"/>
    <d v="2026-01-31T00:00:00"/>
  </r>
  <r>
    <s v="LN00148"/>
    <s v="CUST0123"/>
    <x v="0"/>
    <s v="North"/>
    <s v="RM_10"/>
    <s v="LAP"/>
    <n v="4995084"/>
    <x v="147"/>
    <n v="655835"/>
    <n v="0.87"/>
    <n v="11.5"/>
    <n v="5"/>
    <x v="0"/>
    <n v="0"/>
    <x v="0"/>
    <n v="1"/>
    <n v="3"/>
    <x v="0"/>
    <s v="Auto Parts"/>
    <n v="7"/>
    <n v="119741696"/>
    <s v="D"/>
    <d v="2022-06-07T00:00:00"/>
    <d v="2022-06-10T00:00:00"/>
    <d v="2026-01-31T00:00:00"/>
  </r>
  <r>
    <s v="LN00149"/>
    <s v="CUST0173"/>
    <x v="2"/>
    <s v="West"/>
    <s v="RM_1"/>
    <s v="LAP"/>
    <n v="6515429"/>
    <x v="148"/>
    <n v="1799608"/>
    <n v="0.72"/>
    <n v="13.11"/>
    <n v="19"/>
    <x v="0"/>
    <n v="0"/>
    <x v="0"/>
    <n v="0"/>
    <n v="1"/>
    <x v="2"/>
    <s v="FMCG"/>
    <n v="18"/>
    <n v="390956124"/>
    <s v="D"/>
    <d v="2023-11-25T00:00:00"/>
    <d v="2023-11-29T00:00:00"/>
    <d v="2026-01-31T00:00:00"/>
  </r>
  <r>
    <s v="LN00150"/>
    <s v="CUST0009"/>
    <x v="2"/>
    <s v="North"/>
    <s v="RM_7"/>
    <s v="CC"/>
    <n v="9665733"/>
    <x v="149"/>
    <n v="3410722"/>
    <n v="0.65"/>
    <n v="10.5"/>
    <n v="50"/>
    <x v="1"/>
    <n v="0"/>
    <x v="1"/>
    <n v="1"/>
    <n v="3"/>
    <x v="2"/>
    <s v="Pharma"/>
    <n v="8"/>
    <n v="128897753"/>
    <s v="D"/>
    <d v="2021-03-27T00:00:00"/>
    <d v="2021-03-28T00:00:00"/>
    <d v="2026-01-31T00:00:00"/>
  </r>
  <r>
    <s v="LN00151"/>
    <s v="CUST0103"/>
    <x v="3"/>
    <s v="West"/>
    <s v="RM_1"/>
    <s v="OD"/>
    <n v="2549176"/>
    <x v="150"/>
    <n v="221549"/>
    <n v="0.91"/>
    <n v="12.16"/>
    <n v="21"/>
    <x v="0"/>
    <n v="0"/>
    <x v="0"/>
    <n v="1"/>
    <n v="3"/>
    <x v="0"/>
    <s v="Auto Parts"/>
    <n v="1"/>
    <n v="137727914"/>
    <s v="D"/>
    <d v="2020-03-14T00:00:00"/>
    <d v="2020-03-22T00:00:00"/>
    <d v="2026-01-31T00:00:00"/>
  </r>
  <r>
    <s v="LN00152"/>
    <s v="CUST0135"/>
    <x v="3"/>
    <s v="East"/>
    <s v="RM_6"/>
    <s v="OD"/>
    <n v="6450710"/>
    <x v="151"/>
    <n v="1935147"/>
    <n v="0.7"/>
    <n v="12.99"/>
    <n v="19"/>
    <x v="0"/>
    <n v="0"/>
    <x v="0"/>
    <n v="0"/>
    <n v="0"/>
    <x v="3"/>
    <s v="Pharma"/>
    <n v="10"/>
    <n v="198152209"/>
    <s v="B"/>
    <d v="2022-06-19T00:00:00"/>
    <d v="2022-06-23T00:00:00"/>
    <d v="2026-01-31T00:00:00"/>
  </r>
  <r>
    <s v="LN00153"/>
    <s v="CUST0029"/>
    <x v="0"/>
    <s v="North"/>
    <s v="RM_3"/>
    <s v="OD"/>
    <n v="4095647"/>
    <x v="152"/>
    <n v="1205628"/>
    <n v="0.71"/>
    <n v="9.9"/>
    <n v="25"/>
    <x v="0"/>
    <n v="0"/>
    <x v="0"/>
    <n v="0"/>
    <n v="2"/>
    <x v="1"/>
    <s v="FMCG"/>
    <n v="18"/>
    <n v="119606856"/>
    <s v="C"/>
    <d v="2022-09-27T00:00:00"/>
    <d v="2022-09-30T00:00:00"/>
    <d v="2026-01-31T00:00:00"/>
  </r>
  <r>
    <s v="LN00154"/>
    <s v="CUST0010"/>
    <x v="2"/>
    <s v="North"/>
    <s v="RM_9"/>
    <s v="CC"/>
    <n v="2392617"/>
    <x v="153"/>
    <n v="929310"/>
    <n v="0.61"/>
    <n v="12.62"/>
    <n v="40"/>
    <x v="1"/>
    <n v="0"/>
    <x v="1"/>
    <n v="1"/>
    <n v="3"/>
    <x v="1"/>
    <s v="Textile"/>
    <n v="4"/>
    <n v="121022333"/>
    <s v="D"/>
    <d v="2021-12-30T00:00:00"/>
    <d v="2021-12-31T00:00:00"/>
    <d v="2026-01-31T00:00:00"/>
  </r>
  <r>
    <s v="LN00155"/>
    <s v="CUST0105"/>
    <x v="2"/>
    <s v="North"/>
    <s v="RM_7"/>
    <s v="CC"/>
    <n v="2737762"/>
    <x v="154"/>
    <n v="687529"/>
    <n v="0.75"/>
    <n v="14.42"/>
    <n v="34"/>
    <x v="1"/>
    <n v="0"/>
    <x v="1"/>
    <n v="0"/>
    <n v="3"/>
    <x v="2"/>
    <s v="Pharma"/>
    <n v="8"/>
    <n v="78997504"/>
    <s v="B"/>
    <d v="2021-02-22T00:00:00"/>
    <d v="2021-03-02T00:00:00"/>
    <d v="2026-01-31T00:00:00"/>
  </r>
  <r>
    <s v="LN00156"/>
    <s v="CUST0049"/>
    <x v="3"/>
    <s v="South"/>
    <s v="RM_5"/>
    <s v="CC"/>
    <n v="10685985"/>
    <x v="155"/>
    <n v="1306371"/>
    <n v="0.88"/>
    <n v="10.73"/>
    <n v="6"/>
    <x v="0"/>
    <n v="0"/>
    <x v="0"/>
    <n v="0"/>
    <n v="4"/>
    <x v="0"/>
    <s v="Pharma"/>
    <n v="20"/>
    <n v="495682416"/>
    <s v="B"/>
    <d v="2023-06-12T00:00:00"/>
    <d v="2023-06-16T00:00:00"/>
    <d v="2026-01-31T00:00:00"/>
  </r>
  <r>
    <s v="LN00157"/>
    <s v="CUST0152"/>
    <x v="1"/>
    <s v="West"/>
    <s v="RM_5"/>
    <s v="OD"/>
    <n v="4704793"/>
    <x v="156"/>
    <n v="1518370"/>
    <n v="0.68"/>
    <n v="10.45"/>
    <n v="19"/>
    <x v="0"/>
    <n v="0"/>
    <x v="0"/>
    <n v="1"/>
    <n v="4"/>
    <x v="3"/>
    <s v="FMCG"/>
    <n v="7"/>
    <n v="224907018"/>
    <s v="A"/>
    <d v="2022-01-21T00:00:00"/>
    <d v="2022-01-27T00:00:00"/>
    <d v="2026-01-31T00:00:00"/>
  </r>
  <r>
    <s v="LN00158"/>
    <s v="CUST0053"/>
    <x v="3"/>
    <s v="East"/>
    <s v="RM_10"/>
    <s v="CC"/>
    <n v="7729453"/>
    <x v="157"/>
    <n v="773393"/>
    <n v="0.9"/>
    <n v="12.61"/>
    <n v="19"/>
    <x v="0"/>
    <n v="0"/>
    <x v="0"/>
    <n v="0"/>
    <n v="3"/>
    <x v="0"/>
    <s v="Electronics"/>
    <n v="1"/>
    <n v="119940850"/>
    <s v="C"/>
    <d v="2022-03-28T00:00:00"/>
    <d v="2022-03-29T00:00:00"/>
    <d v="2026-01-31T00:00:00"/>
  </r>
  <r>
    <s v="LN00159"/>
    <s v="CUST0186"/>
    <x v="2"/>
    <s v="South"/>
    <s v="RM_1"/>
    <s v="CC"/>
    <n v="7676101"/>
    <x v="158"/>
    <n v="2942215"/>
    <n v="0.62"/>
    <n v="11.93"/>
    <n v="23"/>
    <x v="0"/>
    <n v="0"/>
    <x v="0"/>
    <n v="0"/>
    <n v="2"/>
    <x v="1"/>
    <s v="Auto Parts"/>
    <n v="14"/>
    <n v="417677747"/>
    <s v="A"/>
    <d v="2023-09-21T00:00:00"/>
    <d v="2023-09-22T00:00:00"/>
    <d v="2026-01-31T00:00:00"/>
  </r>
  <r>
    <s v="LN00160"/>
    <s v="CUST0009"/>
    <x v="0"/>
    <s v="West"/>
    <s v="RM_6"/>
    <s v="Term Loan"/>
    <n v="11152695"/>
    <x v="159"/>
    <n v="1188791"/>
    <n v="0.89"/>
    <n v="12.9"/>
    <n v="156"/>
    <x v="2"/>
    <n v="1"/>
    <x v="2"/>
    <n v="0"/>
    <n v="5"/>
    <x v="1"/>
    <s v="Auto Parts"/>
    <n v="12"/>
    <n v="414837238"/>
    <s v="C"/>
    <d v="2023-12-06T00:00:00"/>
    <d v="2023-12-08T00:00:00"/>
    <d v="2026-01-31T00:00:00"/>
  </r>
  <r>
    <s v="LN00161"/>
    <s v="CUST0169"/>
    <x v="1"/>
    <s v="South"/>
    <s v="RM_6"/>
    <s v="CC"/>
    <n v="6365968"/>
    <x v="160"/>
    <n v="1818906"/>
    <n v="0.71"/>
    <n v="12.27"/>
    <n v="28"/>
    <x v="0"/>
    <n v="0"/>
    <x v="0"/>
    <n v="0"/>
    <n v="2"/>
    <x v="1"/>
    <s v="Electronics"/>
    <n v="24"/>
    <n v="167578908"/>
    <s v="B"/>
    <d v="2020-07-05T00:00:00"/>
    <d v="2020-07-11T00:00:00"/>
    <d v="2026-01-31T00:00:00"/>
  </r>
  <r>
    <s v="LN00162"/>
    <s v="CUST0189"/>
    <x v="2"/>
    <s v="West"/>
    <s v="RM_6"/>
    <s v="Term Loan"/>
    <n v="11432760"/>
    <x v="161"/>
    <n v="3307420"/>
    <n v="0.71"/>
    <n v="12.67"/>
    <n v="9"/>
    <x v="0"/>
    <n v="0"/>
    <x v="0"/>
    <n v="0"/>
    <n v="0"/>
    <x v="3"/>
    <s v="Auto Parts"/>
    <n v="24"/>
    <n v="380955360"/>
    <s v="D"/>
    <d v="2023-10-14T00:00:00"/>
    <d v="2023-10-18T00:00:00"/>
    <d v="2026-01-31T00:00:00"/>
  </r>
  <r>
    <s v="LN00163"/>
    <s v="CUST0053"/>
    <x v="3"/>
    <s v="South"/>
    <s v="RM_8"/>
    <s v="OD"/>
    <n v="3657349"/>
    <x v="162"/>
    <n v="1063811"/>
    <n v="0.71"/>
    <n v="14.4"/>
    <n v="29"/>
    <x v="0"/>
    <n v="0"/>
    <x v="0"/>
    <n v="1"/>
    <n v="3"/>
    <x v="0"/>
    <s v="Auto Parts"/>
    <n v="17"/>
    <n v="219647223"/>
    <s v="C"/>
    <d v="2020-09-20T00:00:00"/>
    <d v="2020-09-23T00:00:00"/>
    <d v="2026-01-31T00:00:00"/>
  </r>
  <r>
    <s v="LN00164"/>
    <s v="CUST0187"/>
    <x v="0"/>
    <s v="South"/>
    <s v="RM_2"/>
    <s v="OD"/>
    <n v="8984983"/>
    <x v="163"/>
    <n v="3329991"/>
    <n v="0.63"/>
    <n v="9.0399999999999991"/>
    <n v="3"/>
    <x v="0"/>
    <n v="0"/>
    <x v="0"/>
    <n v="1"/>
    <n v="1"/>
    <x v="2"/>
    <s v="Pharma"/>
    <n v="4"/>
    <n v="109908148"/>
    <s v="B"/>
    <d v="2021-10-29T00:00:00"/>
    <d v="2021-10-30T00:00:00"/>
    <d v="2026-01-31T00:00:00"/>
  </r>
  <r>
    <s v="LN00165"/>
    <s v="CUST0108"/>
    <x v="1"/>
    <s v="South"/>
    <s v="RM_2"/>
    <s v="OD"/>
    <n v="14453211"/>
    <x v="164"/>
    <n v="3919587"/>
    <n v="0.73"/>
    <n v="14.01"/>
    <n v="29"/>
    <x v="0"/>
    <n v="0"/>
    <x v="0"/>
    <n v="1"/>
    <n v="4"/>
    <x v="0"/>
    <s v="Textile"/>
    <n v="21"/>
    <n v="480461316"/>
    <s v="B"/>
    <d v="2020-09-11T00:00:00"/>
    <d v="2020-09-21T00:00:00"/>
    <d v="2026-01-31T00:00:00"/>
  </r>
  <r>
    <s v="LN00166"/>
    <s v="CUST0103"/>
    <x v="1"/>
    <s v="West"/>
    <s v="RM_7"/>
    <s v="LAP"/>
    <n v="7774853"/>
    <x v="165"/>
    <n v="553490"/>
    <n v="0.93"/>
    <n v="13.24"/>
    <n v="0"/>
    <x v="0"/>
    <n v="0"/>
    <x v="0"/>
    <n v="0"/>
    <n v="1"/>
    <x v="0"/>
    <s v="Electronics"/>
    <n v="4"/>
    <n v="184699964"/>
    <s v="A"/>
    <d v="2022-04-04T00:00:00"/>
    <d v="2022-04-09T00:00:00"/>
    <d v="2026-01-31T00:00:00"/>
  </r>
  <r>
    <s v="LN00167"/>
    <s v="CUST0189"/>
    <x v="2"/>
    <s v="South"/>
    <s v="RM_9"/>
    <s v="OD"/>
    <n v="11240037"/>
    <x v="166"/>
    <n v="2102506"/>
    <n v="0.81"/>
    <n v="14.21"/>
    <n v="7"/>
    <x v="0"/>
    <n v="0"/>
    <x v="0"/>
    <n v="0"/>
    <n v="5"/>
    <x v="2"/>
    <s v="Pharma"/>
    <n v="4"/>
    <n v="139236640"/>
    <s v="B"/>
    <d v="2022-11-24T00:00:00"/>
    <d v="2022-11-27T00:00:00"/>
    <d v="2026-01-31T00:00:00"/>
  </r>
  <r>
    <s v="LN00168"/>
    <s v="CUST0057"/>
    <x v="3"/>
    <s v="West"/>
    <s v="RM_4"/>
    <s v="OD"/>
    <n v="13089966"/>
    <x v="167"/>
    <n v="2132139"/>
    <n v="0.84"/>
    <n v="10.69"/>
    <n v="18"/>
    <x v="0"/>
    <n v="0"/>
    <x v="0"/>
    <n v="1"/>
    <n v="0"/>
    <x v="0"/>
    <s v="Pharma"/>
    <n v="2"/>
    <n v="300024573"/>
    <s v="C"/>
    <d v="2023-07-01T00:00:00"/>
    <d v="2023-07-02T00:00:00"/>
    <d v="2026-01-31T00:00:00"/>
  </r>
  <r>
    <s v="LN00169"/>
    <s v="CUST0114"/>
    <x v="0"/>
    <s v="North"/>
    <s v="RM_8"/>
    <s v="Term Loan"/>
    <n v="11367093"/>
    <x v="168"/>
    <n v="1315640"/>
    <n v="0.88"/>
    <n v="13.27"/>
    <n v="11"/>
    <x v="0"/>
    <n v="0"/>
    <x v="0"/>
    <n v="0"/>
    <n v="4"/>
    <x v="3"/>
    <s v="FMCG"/>
    <n v="8"/>
    <n v="457605093"/>
    <s v="C"/>
    <d v="2022-01-08T00:00:00"/>
    <d v="2022-01-09T00:00:00"/>
    <d v="2026-01-31T00:00:00"/>
  </r>
  <r>
    <s v="LN00170"/>
    <s v="CUST0056"/>
    <x v="3"/>
    <s v="South"/>
    <s v="RM_3"/>
    <s v="CC"/>
    <n v="2177314"/>
    <x v="169"/>
    <n v="792120"/>
    <n v="0.64"/>
    <n v="9.6300000000000008"/>
    <n v="73"/>
    <x v="3"/>
    <n v="0"/>
    <x v="2"/>
    <n v="0"/>
    <n v="5"/>
    <x v="2"/>
    <s v="Pharma"/>
    <n v="14"/>
    <n v="368128376"/>
    <s v="A"/>
    <d v="2024-01-02T00:00:00"/>
    <d v="2024-01-06T00:00:00"/>
    <d v="2026-01-31T00:00:00"/>
  </r>
  <r>
    <s v="LN00171"/>
    <s v="CUST0188"/>
    <x v="3"/>
    <s v="North"/>
    <s v="RM_5"/>
    <s v="LAP"/>
    <n v="6960158"/>
    <x v="170"/>
    <n v="1670819"/>
    <n v="0.76"/>
    <n v="11.71"/>
    <n v="18"/>
    <x v="0"/>
    <n v="0"/>
    <x v="0"/>
    <n v="1"/>
    <n v="0"/>
    <x v="3"/>
    <s v="Auto Parts"/>
    <n v="13"/>
    <n v="320620468"/>
    <s v="B"/>
    <d v="2020-09-15T00:00:00"/>
    <d v="2020-09-25T00:00:00"/>
    <d v="2026-01-31T00:00:00"/>
  </r>
  <r>
    <s v="LN00172"/>
    <s v="CUST0063"/>
    <x v="1"/>
    <s v="East"/>
    <s v="RM_1"/>
    <s v="Term Loan"/>
    <n v="5449928"/>
    <x v="171"/>
    <n v="907576"/>
    <n v="0.83"/>
    <n v="10.47"/>
    <n v="7"/>
    <x v="0"/>
    <n v="0"/>
    <x v="0"/>
    <n v="1"/>
    <n v="2"/>
    <x v="2"/>
    <s v="Pharma"/>
    <n v="17"/>
    <n v="479023179"/>
    <s v="A"/>
    <d v="2022-07-20T00:00:00"/>
    <d v="2022-07-26T00:00:00"/>
    <d v="2026-01-31T00:00:00"/>
  </r>
  <r>
    <s v="LN00173"/>
    <s v="CUST0145"/>
    <x v="2"/>
    <s v="West"/>
    <s v="RM_5"/>
    <s v="Term Loan"/>
    <n v="7301263"/>
    <x v="172"/>
    <n v="2625424"/>
    <n v="0.64"/>
    <n v="11.27"/>
    <n v="21"/>
    <x v="0"/>
    <n v="0"/>
    <x v="0"/>
    <n v="0"/>
    <n v="4"/>
    <x v="1"/>
    <s v="FMCG"/>
    <n v="14"/>
    <n v="336134453"/>
    <s v="A"/>
    <d v="2023-04-29T00:00:00"/>
    <d v="2023-05-06T00:00:00"/>
    <d v="2026-01-31T00:00:00"/>
  </r>
  <r>
    <s v="LN00174"/>
    <s v="CUST0036"/>
    <x v="3"/>
    <s v="North"/>
    <s v="RM_9"/>
    <s v="OD"/>
    <n v="12645787"/>
    <x v="173"/>
    <n v="3140864"/>
    <n v="0.75"/>
    <n v="10.74"/>
    <n v="22"/>
    <x v="0"/>
    <n v="0"/>
    <x v="0"/>
    <n v="0"/>
    <n v="2"/>
    <x v="2"/>
    <s v="FMCG"/>
    <n v="8"/>
    <n v="319330344"/>
    <s v="B"/>
    <d v="2023-08-12T00:00:00"/>
    <d v="2023-08-22T00:00:00"/>
    <d v="2026-01-31T00:00:00"/>
  </r>
  <r>
    <s v="LN00175"/>
    <s v="CUST0038"/>
    <x v="2"/>
    <s v="South"/>
    <s v="RM_3"/>
    <s v="Term Loan"/>
    <n v="4179538"/>
    <x v="174"/>
    <n v="1425455"/>
    <n v="0.66"/>
    <n v="9.67"/>
    <n v="0"/>
    <x v="0"/>
    <n v="0"/>
    <x v="0"/>
    <n v="1"/>
    <n v="5"/>
    <x v="2"/>
    <s v="Electronics"/>
    <n v="23"/>
    <n v="293812257"/>
    <s v="D"/>
    <d v="2023-09-23T00:00:00"/>
    <d v="2023-09-27T00:00:00"/>
    <d v="2026-01-31T00:00:00"/>
  </r>
  <r>
    <s v="LN00176"/>
    <s v="CUST0055"/>
    <x v="3"/>
    <s v="North"/>
    <s v="RM_8"/>
    <s v="CC"/>
    <n v="11110660"/>
    <x v="175"/>
    <n v="1965861"/>
    <n v="0.82"/>
    <n v="11.82"/>
    <n v="7"/>
    <x v="0"/>
    <n v="0"/>
    <x v="0"/>
    <n v="0"/>
    <n v="5"/>
    <x v="0"/>
    <s v="Electronics"/>
    <n v="5"/>
    <n v="50991017"/>
    <s v="A"/>
    <d v="2020-05-25T00:00:00"/>
    <d v="2020-05-31T00:00:00"/>
    <d v="2026-01-31T00:00:00"/>
  </r>
  <r>
    <s v="LN00177"/>
    <s v="CUST0018"/>
    <x v="1"/>
    <s v="West"/>
    <s v="RM_3"/>
    <s v="Term Loan"/>
    <n v="11388818"/>
    <x v="176"/>
    <n v="2260406"/>
    <n v="0.8"/>
    <n v="14.06"/>
    <n v="60"/>
    <x v="1"/>
    <n v="0"/>
    <x v="1"/>
    <n v="0"/>
    <n v="0"/>
    <x v="1"/>
    <s v="Pharma"/>
    <n v="3"/>
    <n v="338848344"/>
    <s v="D"/>
    <d v="2020-08-02T00:00:00"/>
    <d v="2020-08-08T00:00:00"/>
    <d v="2026-01-31T00:00:00"/>
  </r>
  <r>
    <s v="LN00178"/>
    <s v="CUST0101"/>
    <x v="2"/>
    <s v="West"/>
    <s v="RM_2"/>
    <s v="OD"/>
    <n v="13114067"/>
    <x v="177"/>
    <n v="857059"/>
    <n v="0.93"/>
    <n v="11.68"/>
    <n v="8"/>
    <x v="0"/>
    <n v="0"/>
    <x v="0"/>
    <n v="0"/>
    <n v="0"/>
    <x v="0"/>
    <s v="Electronics"/>
    <n v="1"/>
    <n v="424343626"/>
    <s v="D"/>
    <d v="2022-02-12T00:00:00"/>
    <d v="2022-02-15T00:00:00"/>
    <d v="2026-01-31T00:00:00"/>
  </r>
  <r>
    <s v="LN00179"/>
    <s v="CUST0018"/>
    <x v="1"/>
    <s v="East"/>
    <s v="RM_10"/>
    <s v="OD"/>
    <n v="2138144"/>
    <x v="178"/>
    <n v="438207"/>
    <n v="0.8"/>
    <n v="10.28"/>
    <n v="28"/>
    <x v="0"/>
    <n v="0"/>
    <x v="0"/>
    <n v="0"/>
    <n v="4"/>
    <x v="3"/>
    <s v="FMCG"/>
    <n v="9"/>
    <n v="486018839"/>
    <s v="C"/>
    <d v="2021-10-03T00:00:00"/>
    <d v="2021-10-09T00:00:00"/>
    <d v="2026-01-31T00:00:00"/>
  </r>
  <r>
    <s v="LN00180"/>
    <s v="CUST0050"/>
    <x v="2"/>
    <s v="South"/>
    <s v="RM_8"/>
    <s v="OD"/>
    <n v="11503672"/>
    <x v="179"/>
    <n v="2573328"/>
    <n v="0.78"/>
    <n v="12.88"/>
    <n v="43"/>
    <x v="1"/>
    <n v="0"/>
    <x v="1"/>
    <n v="1"/>
    <n v="3"/>
    <x v="3"/>
    <s v="Textile"/>
    <n v="13"/>
    <n v="298184539"/>
    <s v="A"/>
    <d v="2023-02-20T00:00:00"/>
    <d v="2023-02-22T00:00:00"/>
    <d v="2026-01-31T00:00:00"/>
  </r>
  <r>
    <s v="LN00181"/>
    <s v="CUST0093"/>
    <x v="0"/>
    <s v="South"/>
    <s v="RM_8"/>
    <s v="CC"/>
    <n v="5524991"/>
    <x v="180"/>
    <n v="1345174"/>
    <n v="0.76"/>
    <n v="13.81"/>
    <n v="14"/>
    <x v="0"/>
    <n v="0"/>
    <x v="0"/>
    <n v="1"/>
    <n v="3"/>
    <x v="2"/>
    <s v="Textile"/>
    <n v="22"/>
    <n v="309362012"/>
    <s v="C"/>
    <d v="2023-02-18T00:00:00"/>
    <d v="2023-02-25T00:00:00"/>
    <d v="2026-01-31T00:00:00"/>
  </r>
  <r>
    <s v="LN00182"/>
    <s v="CUST0107"/>
    <x v="2"/>
    <s v="South"/>
    <s v="RM_5"/>
    <s v="Term Loan"/>
    <n v="13217262"/>
    <x v="181"/>
    <n v="3700217"/>
    <n v="0.72"/>
    <n v="14.36"/>
    <n v="18"/>
    <x v="0"/>
    <n v="0"/>
    <x v="0"/>
    <n v="1"/>
    <n v="4"/>
    <x v="1"/>
    <s v="Pharma"/>
    <n v="22"/>
    <n v="92028025"/>
    <s v="B"/>
    <d v="2023-02-15T00:00:00"/>
    <d v="2023-02-20T00:00:00"/>
    <d v="2026-01-31T00:00:00"/>
  </r>
  <r>
    <s v="LN00183"/>
    <s v="CUST0115"/>
    <x v="0"/>
    <s v="South"/>
    <s v="RM_5"/>
    <s v="OD"/>
    <n v="4587824"/>
    <x v="182"/>
    <n v="625000"/>
    <n v="0.86"/>
    <n v="11.76"/>
    <n v="14"/>
    <x v="0"/>
    <n v="0"/>
    <x v="0"/>
    <n v="0"/>
    <n v="2"/>
    <x v="0"/>
    <s v="Textile"/>
    <n v="6"/>
    <n v="61289053"/>
    <s v="A"/>
    <d v="2021-09-27T00:00:00"/>
    <d v="2021-10-05T00:00:00"/>
    <d v="2026-01-31T00:00:00"/>
  </r>
  <r>
    <s v="LN00184"/>
    <s v="CUST0064"/>
    <x v="3"/>
    <s v="West"/>
    <s v="RM_3"/>
    <s v="LAP"/>
    <n v="7447577"/>
    <x v="183"/>
    <n v="816346"/>
    <n v="0.89"/>
    <n v="10.220000000000001"/>
    <n v="30"/>
    <x v="0"/>
    <n v="0"/>
    <x v="0"/>
    <n v="1"/>
    <n v="4"/>
    <x v="1"/>
    <s v="Auto Parts"/>
    <n v="9"/>
    <n v="31997610"/>
    <s v="C"/>
    <d v="2021-10-07T00:00:00"/>
    <d v="2021-10-15T00:00:00"/>
    <d v="2026-01-31T00:00:00"/>
  </r>
  <r>
    <s v="LN00185"/>
    <s v="CUST0111"/>
    <x v="2"/>
    <s v="East"/>
    <s v="RM_10"/>
    <s v="Term Loan"/>
    <n v="10488827"/>
    <x v="184"/>
    <n v="3495875"/>
    <n v="0.67"/>
    <n v="14.31"/>
    <n v="22"/>
    <x v="0"/>
    <n v="0"/>
    <x v="0"/>
    <n v="0"/>
    <n v="4"/>
    <x v="1"/>
    <s v="Textile"/>
    <n v="4"/>
    <n v="118275731"/>
    <s v="C"/>
    <d v="2022-08-17T00:00:00"/>
    <d v="2022-08-18T00:00:00"/>
    <d v="2026-01-31T00:00:00"/>
  </r>
  <r>
    <s v="LN00186"/>
    <s v="CUST0197"/>
    <x v="2"/>
    <s v="East"/>
    <s v="RM_6"/>
    <s v="LAP"/>
    <n v="2305689"/>
    <x v="185"/>
    <n v="571660"/>
    <n v="0.75"/>
    <n v="12.76"/>
    <n v="13"/>
    <x v="0"/>
    <n v="0"/>
    <x v="0"/>
    <n v="1"/>
    <n v="2"/>
    <x v="3"/>
    <s v="Pharma"/>
    <n v="5"/>
    <n v="74833487"/>
    <s v="B"/>
    <d v="2021-01-08T00:00:00"/>
    <d v="2021-01-15T00:00:00"/>
    <d v="2026-01-31T00:00:00"/>
  </r>
  <r>
    <s v="LN00187"/>
    <s v="CUST0060"/>
    <x v="2"/>
    <s v="South"/>
    <s v="RM_1"/>
    <s v="Term Loan"/>
    <n v="10672816"/>
    <x v="186"/>
    <n v="1007827"/>
    <n v="0.91"/>
    <n v="10.97"/>
    <n v="2"/>
    <x v="0"/>
    <n v="0"/>
    <x v="0"/>
    <n v="0"/>
    <n v="4"/>
    <x v="0"/>
    <s v="Auto Parts"/>
    <n v="23"/>
    <n v="119792088"/>
    <s v="A"/>
    <d v="2022-09-08T00:00:00"/>
    <d v="2022-09-13T00:00:00"/>
    <d v="2026-01-31T00:00:00"/>
  </r>
  <r>
    <s v="LN00188"/>
    <s v="CUST0050"/>
    <x v="0"/>
    <s v="North"/>
    <s v="RM_4"/>
    <s v="Term Loan"/>
    <n v="5101392"/>
    <x v="187"/>
    <n v="1174674"/>
    <n v="0.77"/>
    <n v="12.21"/>
    <n v="18"/>
    <x v="0"/>
    <n v="0"/>
    <x v="0"/>
    <n v="0"/>
    <n v="4"/>
    <x v="3"/>
    <s v="Textile"/>
    <n v="8"/>
    <n v="452361827"/>
    <s v="D"/>
    <d v="2024-02-04T00:00:00"/>
    <d v="2024-02-08T00:00:00"/>
    <d v="2026-01-31T00:00:00"/>
  </r>
  <r>
    <s v="LN00189"/>
    <s v="CUST0061"/>
    <x v="0"/>
    <s v="South"/>
    <s v="RM_9"/>
    <s v="Term Loan"/>
    <n v="12857056"/>
    <x v="188"/>
    <n v="2626935"/>
    <n v="0.8"/>
    <n v="9.2200000000000006"/>
    <n v="16"/>
    <x v="0"/>
    <n v="0"/>
    <x v="0"/>
    <n v="1"/>
    <n v="1"/>
    <x v="2"/>
    <s v="Pharma"/>
    <n v="7"/>
    <n v="162952960"/>
    <s v="A"/>
    <d v="2023-09-07T00:00:00"/>
    <d v="2023-09-17T00:00:00"/>
    <d v="2026-01-31T00:00:00"/>
  </r>
  <r>
    <s v="LN00190"/>
    <s v="CUST0119"/>
    <x v="2"/>
    <s v="East"/>
    <s v="RM_7"/>
    <s v="LAP"/>
    <n v="6287973"/>
    <x v="189"/>
    <n v="1747353"/>
    <n v="0.72"/>
    <n v="9.56"/>
    <n v="16"/>
    <x v="0"/>
    <n v="0"/>
    <x v="0"/>
    <n v="1"/>
    <n v="0"/>
    <x v="2"/>
    <s v="FMCG"/>
    <n v="10"/>
    <n v="174501269"/>
    <s v="C"/>
    <d v="2022-10-26T00:00:00"/>
    <d v="2022-10-29T00:00:00"/>
    <d v="2026-01-31T00:00:00"/>
  </r>
  <r>
    <s v="LN00191"/>
    <s v="CUST0053"/>
    <x v="3"/>
    <s v="South"/>
    <s v="RM_3"/>
    <s v="Term Loan"/>
    <n v="10313244"/>
    <x v="190"/>
    <n v="1775036"/>
    <n v="0.83"/>
    <n v="9.08"/>
    <n v="20"/>
    <x v="0"/>
    <n v="0"/>
    <x v="0"/>
    <n v="0"/>
    <n v="2"/>
    <x v="0"/>
    <s v="Pharma"/>
    <n v="11"/>
    <n v="354694126"/>
    <s v="C"/>
    <d v="2023-05-05T00:00:00"/>
    <d v="2023-05-06T00:00:00"/>
    <d v="2026-01-31T00:00:00"/>
  </r>
  <r>
    <s v="LN00192"/>
    <s v="CUST0115"/>
    <x v="1"/>
    <s v="South"/>
    <s v="RM_8"/>
    <s v="CC"/>
    <n v="8086814"/>
    <x v="191"/>
    <n v="1248215"/>
    <n v="0.85"/>
    <n v="14.22"/>
    <n v="61"/>
    <x v="3"/>
    <n v="0"/>
    <x v="2"/>
    <n v="1"/>
    <n v="5"/>
    <x v="0"/>
    <s v="Pharma"/>
    <n v="16"/>
    <n v="390779819"/>
    <s v="B"/>
    <d v="2022-03-14T00:00:00"/>
    <d v="2022-03-15T00:00:00"/>
    <d v="2026-01-31T00:00:00"/>
  </r>
  <r>
    <s v="LN00193"/>
    <s v="CUST0048"/>
    <x v="3"/>
    <s v="East"/>
    <s v="RM_4"/>
    <s v="CC"/>
    <n v="14414334"/>
    <x v="192"/>
    <n v="1758084"/>
    <n v="0.88"/>
    <n v="10.039999999999999"/>
    <n v="27"/>
    <x v="0"/>
    <n v="0"/>
    <x v="0"/>
    <n v="1"/>
    <n v="0"/>
    <x v="0"/>
    <s v="Textile"/>
    <n v="6"/>
    <n v="251453533"/>
    <s v="B"/>
    <d v="2022-11-11T00:00:00"/>
    <d v="2022-11-12T00:00:00"/>
    <d v="2026-01-31T00:00:00"/>
  </r>
  <r>
    <s v="LN00194"/>
    <s v="CUST0010"/>
    <x v="2"/>
    <s v="North"/>
    <s v="RM_4"/>
    <s v="CC"/>
    <n v="4710909"/>
    <x v="193"/>
    <n v="798999"/>
    <n v="0.83"/>
    <n v="12.65"/>
    <n v="54"/>
    <x v="1"/>
    <n v="0"/>
    <x v="1"/>
    <n v="0"/>
    <n v="3"/>
    <x v="1"/>
    <s v="Textile"/>
    <n v="10"/>
    <n v="338950223"/>
    <s v="B"/>
    <d v="2021-07-23T00:00:00"/>
    <d v="2021-07-24T00:00:00"/>
    <d v="2026-01-31T00:00:00"/>
  </r>
  <r>
    <s v="LN00195"/>
    <s v="CUST0096"/>
    <x v="2"/>
    <s v="North"/>
    <s v="RM_1"/>
    <s v="LAP"/>
    <n v="2211720"/>
    <x v="194"/>
    <n v="664700"/>
    <n v="0.7"/>
    <n v="11.06"/>
    <n v="6"/>
    <x v="0"/>
    <n v="0"/>
    <x v="0"/>
    <n v="1"/>
    <n v="2"/>
    <x v="3"/>
    <s v="FMCG"/>
    <n v="23"/>
    <n v="231332025"/>
    <s v="B"/>
    <d v="2022-10-27T00:00:00"/>
    <d v="2022-10-29T00:00:00"/>
    <d v="2026-01-31T00:00:00"/>
  </r>
  <r>
    <s v="LN00196"/>
    <s v="CUST0028"/>
    <x v="0"/>
    <s v="North"/>
    <s v="RM_9"/>
    <s v="CC"/>
    <n v="6190524"/>
    <x v="195"/>
    <n v="446639"/>
    <n v="0.93"/>
    <n v="12.79"/>
    <n v="19"/>
    <x v="0"/>
    <n v="0"/>
    <x v="0"/>
    <n v="0"/>
    <n v="1"/>
    <x v="2"/>
    <s v="Pharma"/>
    <n v="25"/>
    <n v="65684540"/>
    <s v="A"/>
    <d v="2022-09-14T00:00:00"/>
    <d v="2022-09-16T00:00:00"/>
    <d v="2026-01-31T00:00:00"/>
  </r>
  <r>
    <s v="LN00197"/>
    <s v="CUST0135"/>
    <x v="2"/>
    <s v="East"/>
    <s v="RM_2"/>
    <s v="CC"/>
    <n v="6391303"/>
    <x v="196"/>
    <n v="793235"/>
    <n v="0.88"/>
    <n v="11.89"/>
    <n v="12"/>
    <x v="0"/>
    <n v="0"/>
    <x v="0"/>
    <n v="1"/>
    <n v="5"/>
    <x v="3"/>
    <s v="Pharma"/>
    <n v="12"/>
    <n v="398543927"/>
    <s v="C"/>
    <d v="2020-05-08T00:00:00"/>
    <d v="2020-05-09T00:00:00"/>
    <d v="2026-01-31T00:00:00"/>
  </r>
  <r>
    <s v="LN00198"/>
    <s v="CUST0117"/>
    <x v="3"/>
    <s v="South"/>
    <s v="RM_3"/>
    <s v="Term Loan"/>
    <n v="3209537"/>
    <x v="197"/>
    <n v="222181"/>
    <n v="0.93"/>
    <n v="10.37"/>
    <n v="50"/>
    <x v="1"/>
    <n v="0"/>
    <x v="1"/>
    <n v="1"/>
    <n v="0"/>
    <x v="3"/>
    <s v="Electronics"/>
    <n v="19"/>
    <n v="118700318"/>
    <s v="D"/>
    <d v="2023-02-25T00:00:00"/>
    <d v="2023-02-26T00:00:00"/>
    <d v="2026-01-31T00:00:00"/>
  </r>
  <r>
    <s v="LN00199"/>
    <s v="CUST0115"/>
    <x v="3"/>
    <s v="West"/>
    <s v="RM_6"/>
    <s v="OD"/>
    <n v="3749249"/>
    <x v="198"/>
    <n v="201516"/>
    <n v="0.95"/>
    <n v="11.63"/>
    <n v="12"/>
    <x v="0"/>
    <n v="0"/>
    <x v="0"/>
    <n v="1"/>
    <n v="1"/>
    <x v="3"/>
    <s v="FMCG"/>
    <n v="21"/>
    <n v="148974176"/>
    <s v="C"/>
    <d v="2020-10-18T00:00:00"/>
    <d v="2020-10-21T00:00:00"/>
    <d v="2026-01-31T00:00:00"/>
  </r>
  <r>
    <s v="LN00200"/>
    <s v="CUST0005"/>
    <x v="1"/>
    <s v="North"/>
    <s v="RM_9"/>
    <s v="OD"/>
    <n v="13311826"/>
    <x v="199"/>
    <n v="3953947"/>
    <n v="0.7"/>
    <n v="10.99"/>
    <n v="33"/>
    <x v="1"/>
    <n v="0"/>
    <x v="1"/>
    <n v="1"/>
    <n v="4"/>
    <x v="3"/>
    <s v="Electronics"/>
    <n v="8"/>
    <n v="361423233"/>
    <s v="A"/>
    <d v="2020-01-11T00:00:00"/>
    <d v="2020-01-17T00:00:00"/>
    <d v="2026-01-31T00:00:00"/>
  </r>
  <r>
    <s v="LN00201"/>
    <s v="CUST0056"/>
    <x v="2"/>
    <s v="East"/>
    <s v="RM_6"/>
    <s v="CC"/>
    <n v="9188484"/>
    <x v="200"/>
    <n v="2917469"/>
    <n v="0.68"/>
    <n v="11.28"/>
    <n v="27"/>
    <x v="0"/>
    <n v="0"/>
    <x v="0"/>
    <n v="1"/>
    <n v="3"/>
    <x v="2"/>
    <s v="Pharma"/>
    <n v="18"/>
    <n v="202528000"/>
    <s v="B"/>
    <d v="2020-10-06T00:00:00"/>
    <d v="2020-10-12T00:00:00"/>
    <d v="2026-01-31T00:00:00"/>
  </r>
  <r>
    <s v="LN00202"/>
    <s v="CUST0130"/>
    <x v="2"/>
    <s v="East"/>
    <s v="RM_9"/>
    <s v="LAP"/>
    <n v="9063881"/>
    <x v="201"/>
    <n v="3529286"/>
    <n v="0.61"/>
    <n v="9.66"/>
    <n v="6"/>
    <x v="0"/>
    <n v="0"/>
    <x v="0"/>
    <n v="0"/>
    <n v="2"/>
    <x v="3"/>
    <s v="FMCG"/>
    <n v="7"/>
    <n v="29440551"/>
    <s v="A"/>
    <d v="2020-01-29T00:00:00"/>
    <d v="2020-02-06T00:00:00"/>
    <d v="2026-01-31T00:00:00"/>
  </r>
  <r>
    <s v="LN00203"/>
    <s v="CUST0005"/>
    <x v="3"/>
    <s v="South"/>
    <s v="RM_10"/>
    <s v="Term Loan"/>
    <n v="11926392"/>
    <x v="202"/>
    <n v="2582903"/>
    <n v="0.78"/>
    <n v="14.15"/>
    <n v="15"/>
    <x v="0"/>
    <n v="0"/>
    <x v="0"/>
    <n v="0"/>
    <n v="0"/>
    <x v="2"/>
    <s v="Textile"/>
    <n v="9"/>
    <n v="251301345"/>
    <s v="A"/>
    <d v="2021-10-14T00:00:00"/>
    <d v="2021-10-15T00:00:00"/>
    <d v="2026-01-31T00:00:00"/>
  </r>
  <r>
    <s v="LN00204"/>
    <s v="CUST0004"/>
    <x v="1"/>
    <s v="South"/>
    <s v="RM_2"/>
    <s v="Term Loan"/>
    <n v="4338293"/>
    <x v="203"/>
    <n v="253934"/>
    <n v="0.94"/>
    <n v="14.46"/>
    <n v="27"/>
    <x v="0"/>
    <n v="0"/>
    <x v="0"/>
    <n v="1"/>
    <n v="4"/>
    <x v="2"/>
    <s v="FMCG"/>
    <n v="20"/>
    <n v="94110556"/>
    <s v="C"/>
    <d v="2020-05-15T00:00:00"/>
    <d v="2020-05-23T00:00:00"/>
    <d v="2026-01-31T00:00:00"/>
  </r>
  <r>
    <s v="LN00205"/>
    <s v="CUST0070"/>
    <x v="3"/>
    <s v="East"/>
    <s v="RM_4"/>
    <s v="CC"/>
    <n v="14944621"/>
    <x v="204"/>
    <n v="3745889"/>
    <n v="0.75"/>
    <n v="9.2899999999999991"/>
    <n v="5"/>
    <x v="0"/>
    <n v="0"/>
    <x v="0"/>
    <n v="1"/>
    <n v="3"/>
    <x v="2"/>
    <s v="Pharma"/>
    <n v="20"/>
    <n v="315248665"/>
    <s v="D"/>
    <d v="2021-01-31T00:00:00"/>
    <d v="2021-02-07T00:00:00"/>
    <d v="2026-01-31T00:00:00"/>
  </r>
  <r>
    <s v="LN00206"/>
    <s v="CUST0072"/>
    <x v="1"/>
    <s v="West"/>
    <s v="RM_1"/>
    <s v="LAP"/>
    <n v="14882455"/>
    <x v="205"/>
    <n v="2967919"/>
    <n v="0.8"/>
    <n v="12.21"/>
    <n v="27"/>
    <x v="0"/>
    <n v="0"/>
    <x v="0"/>
    <n v="0"/>
    <n v="1"/>
    <x v="2"/>
    <s v="FMCG"/>
    <n v="21"/>
    <n v="101726691"/>
    <s v="B"/>
    <d v="2023-12-24T00:00:00"/>
    <d v="2024-01-02T00:00:00"/>
    <d v="2026-01-31T00:00:00"/>
  </r>
  <r>
    <s v="LN00207"/>
    <s v="CUST0184"/>
    <x v="3"/>
    <s v="North"/>
    <s v="RM_1"/>
    <s v="OD"/>
    <n v="11444620"/>
    <x v="206"/>
    <n v="630322"/>
    <n v="0.94"/>
    <n v="11.21"/>
    <n v="57"/>
    <x v="1"/>
    <n v="0"/>
    <x v="1"/>
    <n v="0"/>
    <n v="2"/>
    <x v="0"/>
    <s v="Electronics"/>
    <n v="11"/>
    <n v="370148766"/>
    <s v="A"/>
    <d v="2021-09-07T00:00:00"/>
    <d v="2021-09-12T00:00:00"/>
    <d v="2026-01-31T00:00:00"/>
  </r>
  <r>
    <s v="LN00208"/>
    <s v="CUST0064"/>
    <x v="1"/>
    <s v="South"/>
    <s v="RM_5"/>
    <s v="CC"/>
    <n v="11133489"/>
    <x v="207"/>
    <n v="2014738"/>
    <n v="0.82"/>
    <n v="9.82"/>
    <n v="30"/>
    <x v="0"/>
    <n v="0"/>
    <x v="0"/>
    <n v="1"/>
    <n v="3"/>
    <x v="1"/>
    <s v="Pharma"/>
    <n v="24"/>
    <n v="488892316"/>
    <s v="B"/>
    <d v="2022-09-22T00:00:00"/>
    <d v="2022-09-28T00:00:00"/>
    <d v="2026-01-31T00:00:00"/>
  </r>
  <r>
    <s v="LN00209"/>
    <s v="CUST0042"/>
    <x v="1"/>
    <s v="North"/>
    <s v="RM_5"/>
    <s v="Term Loan"/>
    <n v="6315858"/>
    <x v="208"/>
    <n v="599182"/>
    <n v="0.91"/>
    <n v="11.56"/>
    <n v="74"/>
    <x v="3"/>
    <n v="0"/>
    <x v="2"/>
    <n v="1"/>
    <n v="4"/>
    <x v="0"/>
    <s v="Textile"/>
    <n v="25"/>
    <n v="414104475"/>
    <s v="B"/>
    <d v="2023-09-26T00:00:00"/>
    <d v="2023-09-30T00:00:00"/>
    <d v="2026-01-31T00:00:00"/>
  </r>
  <r>
    <s v="LN00210"/>
    <s v="CUST0036"/>
    <x v="0"/>
    <s v="West"/>
    <s v="RM_6"/>
    <s v="CC"/>
    <n v="4690226"/>
    <x v="209"/>
    <n v="536013"/>
    <n v="0.89"/>
    <n v="12.47"/>
    <n v="22"/>
    <x v="0"/>
    <n v="0"/>
    <x v="0"/>
    <n v="1"/>
    <n v="4"/>
    <x v="2"/>
    <s v="Textile"/>
    <n v="1"/>
    <n v="206172365"/>
    <s v="B"/>
    <d v="2020-01-04T00:00:00"/>
    <d v="2020-01-08T00:00:00"/>
    <d v="2026-01-31T00:00:00"/>
  </r>
  <r>
    <s v="LN00211"/>
    <s v="CUST0040"/>
    <x v="0"/>
    <s v="North"/>
    <s v="RM_5"/>
    <s v="CC"/>
    <n v="4393190"/>
    <x v="210"/>
    <n v="1592796"/>
    <n v="0.64"/>
    <n v="13.91"/>
    <n v="20"/>
    <x v="0"/>
    <n v="0"/>
    <x v="0"/>
    <n v="1"/>
    <n v="3"/>
    <x v="1"/>
    <s v="Pharma"/>
    <n v="9"/>
    <n v="56483823"/>
    <s v="B"/>
    <d v="2022-07-19T00:00:00"/>
    <d v="2022-07-26T00:00:00"/>
    <d v="2026-01-31T00:00:00"/>
  </r>
  <r>
    <s v="LN00212"/>
    <s v="CUST0122"/>
    <x v="3"/>
    <s v="East"/>
    <s v="RM_8"/>
    <s v="Term Loan"/>
    <n v="11861875"/>
    <x v="211"/>
    <n v="1425792"/>
    <n v="0.88"/>
    <n v="12.13"/>
    <n v="56"/>
    <x v="1"/>
    <n v="0"/>
    <x v="1"/>
    <n v="1"/>
    <n v="0"/>
    <x v="1"/>
    <s v="Pharma"/>
    <n v="4"/>
    <n v="452762704"/>
    <s v="D"/>
    <d v="2023-06-07T00:00:00"/>
    <d v="2023-06-12T00:00:00"/>
    <d v="2026-01-31T00:00:00"/>
  </r>
  <r>
    <s v="LN00213"/>
    <s v="CUST0188"/>
    <x v="2"/>
    <s v="West"/>
    <s v="RM_2"/>
    <s v="LAP"/>
    <n v="6053955"/>
    <x v="212"/>
    <n v="2171657"/>
    <n v="0.64"/>
    <n v="12.43"/>
    <n v="26"/>
    <x v="0"/>
    <n v="0"/>
    <x v="0"/>
    <n v="1"/>
    <n v="3"/>
    <x v="0"/>
    <s v="Auto Parts"/>
    <n v="13"/>
    <n v="188542583"/>
    <s v="B"/>
    <d v="2023-06-24T00:00:00"/>
    <d v="2023-06-27T00:00:00"/>
    <d v="2026-01-31T00:00:00"/>
  </r>
  <r>
    <s v="LN00214"/>
    <s v="CUST0177"/>
    <x v="1"/>
    <s v="North"/>
    <s v="RM_3"/>
    <s v="Term Loan"/>
    <n v="14747831"/>
    <x v="213"/>
    <n v="5573471"/>
    <n v="0.62"/>
    <n v="10.41"/>
    <n v="25"/>
    <x v="0"/>
    <n v="0"/>
    <x v="0"/>
    <n v="1"/>
    <n v="5"/>
    <x v="3"/>
    <s v="Electronics"/>
    <n v="9"/>
    <n v="318668739"/>
    <s v="A"/>
    <d v="2021-04-09T00:00:00"/>
    <d v="2021-04-17T00:00:00"/>
    <d v="2026-01-31T00:00:00"/>
  </r>
  <r>
    <s v="LN00215"/>
    <s v="CUST0166"/>
    <x v="3"/>
    <s v="East"/>
    <s v="RM_1"/>
    <s v="Term Loan"/>
    <n v="5281303"/>
    <x v="214"/>
    <n v="1396487"/>
    <n v="0.74"/>
    <n v="11.31"/>
    <n v="9"/>
    <x v="0"/>
    <n v="0"/>
    <x v="0"/>
    <n v="1"/>
    <n v="2"/>
    <x v="0"/>
    <s v="Pharma"/>
    <n v="3"/>
    <n v="144818615"/>
    <s v="C"/>
    <d v="2021-10-14T00:00:00"/>
    <d v="2021-10-18T00:00:00"/>
    <d v="2026-01-31T00:00:00"/>
  </r>
  <r>
    <s v="LN00216"/>
    <s v="CUST0013"/>
    <x v="2"/>
    <s v="North"/>
    <s v="RM_1"/>
    <s v="Term Loan"/>
    <n v="13528428"/>
    <x v="215"/>
    <n v="1299654"/>
    <n v="0.9"/>
    <n v="10.32"/>
    <n v="2"/>
    <x v="0"/>
    <n v="0"/>
    <x v="0"/>
    <n v="0"/>
    <n v="2"/>
    <x v="0"/>
    <s v="Pharma"/>
    <n v="6"/>
    <n v="438549321"/>
    <s v="A"/>
    <d v="2023-06-16T00:00:00"/>
    <d v="2023-06-26T00:00:00"/>
    <d v="2026-01-31T00:00:00"/>
  </r>
  <r>
    <s v="LN00217"/>
    <s v="CUST0119"/>
    <x v="1"/>
    <s v="East"/>
    <s v="RM_7"/>
    <s v="LAP"/>
    <n v="7823741"/>
    <x v="216"/>
    <n v="1845317"/>
    <n v="0.76"/>
    <n v="11.38"/>
    <n v="7"/>
    <x v="0"/>
    <n v="0"/>
    <x v="0"/>
    <n v="0"/>
    <n v="3"/>
    <x v="0"/>
    <s v="Electronics"/>
    <n v="19"/>
    <n v="163883275"/>
    <s v="B"/>
    <d v="2020-05-19T00:00:00"/>
    <d v="2020-05-27T00:00:00"/>
    <d v="2026-01-31T00:00:00"/>
  </r>
  <r>
    <s v="LN00218"/>
    <s v="CUST0097"/>
    <x v="0"/>
    <s v="East"/>
    <s v="RM_9"/>
    <s v="CC"/>
    <n v="12428657"/>
    <x v="217"/>
    <n v="4360597"/>
    <n v="0.65"/>
    <n v="13.57"/>
    <n v="30"/>
    <x v="0"/>
    <n v="0"/>
    <x v="0"/>
    <n v="1"/>
    <n v="1"/>
    <x v="3"/>
    <s v="Electronics"/>
    <n v="18"/>
    <n v="269519393"/>
    <s v="C"/>
    <d v="2021-03-18T00:00:00"/>
    <d v="2021-03-21T00:00:00"/>
    <d v="2026-01-31T00:00:00"/>
  </r>
  <r>
    <s v="LN00219"/>
    <s v="CUST0126"/>
    <x v="0"/>
    <s v="West"/>
    <s v="RM_3"/>
    <s v="CC"/>
    <n v="12346738"/>
    <x v="218"/>
    <n v="1580525"/>
    <n v="0.87"/>
    <n v="10.48"/>
    <n v="29"/>
    <x v="0"/>
    <n v="0"/>
    <x v="0"/>
    <n v="0"/>
    <n v="4"/>
    <x v="2"/>
    <s v="Electronics"/>
    <n v="6"/>
    <n v="177107287"/>
    <s v="A"/>
    <d v="2021-06-02T00:00:00"/>
    <d v="2021-06-04T00:00:00"/>
    <d v="2026-01-31T00:00:00"/>
  </r>
  <r>
    <s v="LN00220"/>
    <s v="CUST0153"/>
    <x v="1"/>
    <s v="South"/>
    <s v="RM_10"/>
    <s v="CC"/>
    <n v="8576056"/>
    <x v="219"/>
    <n v="2471301"/>
    <n v="0.71"/>
    <n v="9.02"/>
    <n v="115"/>
    <x v="2"/>
    <n v="1"/>
    <x v="2"/>
    <n v="0"/>
    <n v="2"/>
    <x v="2"/>
    <s v="FMCG"/>
    <n v="24"/>
    <n v="203303985"/>
    <s v="D"/>
    <d v="2022-10-12T00:00:00"/>
    <d v="2022-10-20T00:00:00"/>
    <d v="2026-01-31T00:00:00"/>
  </r>
  <r>
    <s v="LN00221"/>
    <s v="CUST0128"/>
    <x v="1"/>
    <s v="West"/>
    <s v="RM_9"/>
    <s v="Term Loan"/>
    <n v="11365867"/>
    <x v="220"/>
    <n v="4052403"/>
    <n v="0.64"/>
    <n v="9.27"/>
    <n v="12"/>
    <x v="0"/>
    <n v="0"/>
    <x v="0"/>
    <n v="1"/>
    <n v="1"/>
    <x v="3"/>
    <s v="Textile"/>
    <n v="7"/>
    <n v="449555978"/>
    <s v="C"/>
    <d v="2023-01-21T00:00:00"/>
    <d v="2023-01-25T00:00:00"/>
    <d v="2026-01-31T00:00:00"/>
  </r>
  <r>
    <s v="LN00222"/>
    <s v="CUST0055"/>
    <x v="2"/>
    <s v="East"/>
    <s v="RM_4"/>
    <s v="OD"/>
    <n v="13673460"/>
    <x v="221"/>
    <n v="4501083"/>
    <n v="0.67"/>
    <n v="12.09"/>
    <n v="22"/>
    <x v="0"/>
    <n v="0"/>
    <x v="0"/>
    <n v="1"/>
    <n v="0"/>
    <x v="0"/>
    <s v="Auto Parts"/>
    <n v="4"/>
    <n v="349404951"/>
    <s v="B"/>
    <d v="2022-05-09T00:00:00"/>
    <d v="2022-05-13T00:00:00"/>
    <d v="2026-01-31T00:00:00"/>
  </r>
  <r>
    <s v="LN00223"/>
    <s v="CUST0109"/>
    <x v="3"/>
    <s v="East"/>
    <s v="RM_10"/>
    <s v="Term Loan"/>
    <n v="10791362"/>
    <x v="222"/>
    <n v="2783350"/>
    <n v="0.74"/>
    <n v="10.11"/>
    <n v="26"/>
    <x v="0"/>
    <n v="0"/>
    <x v="0"/>
    <n v="0"/>
    <n v="3"/>
    <x v="3"/>
    <s v="FMCG"/>
    <n v="4"/>
    <n v="87229775"/>
    <s v="A"/>
    <d v="2020-06-27T00:00:00"/>
    <d v="2020-07-06T00:00:00"/>
    <d v="2026-01-31T00:00:00"/>
  </r>
  <r>
    <s v="LN00224"/>
    <s v="CUST0076"/>
    <x v="3"/>
    <s v="East"/>
    <s v="RM_2"/>
    <s v="CC"/>
    <n v="3852068"/>
    <x v="223"/>
    <n v="619373"/>
    <n v="0.84"/>
    <n v="10.46"/>
    <n v="27"/>
    <x v="0"/>
    <n v="0"/>
    <x v="0"/>
    <n v="0"/>
    <n v="4"/>
    <x v="0"/>
    <s v="Electronics"/>
    <n v="16"/>
    <n v="493880235"/>
    <s v="A"/>
    <d v="2020-06-18T00:00:00"/>
    <d v="2020-06-25T00:00:00"/>
    <d v="2026-01-31T00:00:00"/>
  </r>
  <r>
    <s v="LN00225"/>
    <s v="CUST0135"/>
    <x v="3"/>
    <s v="East"/>
    <s v="RM_9"/>
    <s v="Term Loan"/>
    <n v="13100774"/>
    <x v="224"/>
    <n v="5032524"/>
    <n v="0.62"/>
    <n v="11.62"/>
    <n v="28"/>
    <x v="0"/>
    <n v="0"/>
    <x v="0"/>
    <n v="1"/>
    <n v="4"/>
    <x v="2"/>
    <s v="Electronics"/>
    <n v="6"/>
    <n v="390570597"/>
    <s v="A"/>
    <d v="2021-05-12T00:00:00"/>
    <d v="2021-05-17T00:00:00"/>
    <d v="2026-01-31T00:00:00"/>
  </r>
  <r>
    <s v="LN00226"/>
    <s v="CUST0048"/>
    <x v="1"/>
    <s v="West"/>
    <s v="RM_3"/>
    <s v="OD"/>
    <n v="10496100"/>
    <x v="225"/>
    <n v="1629007"/>
    <n v="0.84"/>
    <n v="12.21"/>
    <n v="1"/>
    <x v="0"/>
    <n v="0"/>
    <x v="0"/>
    <n v="1"/>
    <n v="2"/>
    <x v="0"/>
    <s v="FMCG"/>
    <n v="23"/>
    <n v="349440986"/>
    <s v="C"/>
    <d v="2022-08-09T00:00:00"/>
    <d v="2022-08-19T00:00:00"/>
    <d v="2026-01-31T00:00:00"/>
  </r>
  <r>
    <s v="LN00227"/>
    <s v="CUST0029"/>
    <x v="0"/>
    <s v="West"/>
    <s v="RM_9"/>
    <s v="LAP"/>
    <n v="2278123"/>
    <x v="226"/>
    <n v="188988"/>
    <n v="0.92"/>
    <n v="10.9"/>
    <n v="20"/>
    <x v="0"/>
    <n v="0"/>
    <x v="0"/>
    <n v="1"/>
    <n v="4"/>
    <x v="2"/>
    <s v="Electronics"/>
    <n v="14"/>
    <n v="270304535"/>
    <s v="B"/>
    <d v="2020-08-01T00:00:00"/>
    <d v="2020-08-05T00:00:00"/>
    <d v="2026-01-31T00:00:00"/>
  </r>
  <r>
    <s v="LN00228"/>
    <s v="CUST0037"/>
    <x v="0"/>
    <s v="West"/>
    <s v="RM_10"/>
    <s v="Term Loan"/>
    <n v="4985188"/>
    <x v="227"/>
    <n v="713675"/>
    <n v="0.86"/>
    <n v="10.130000000000001"/>
    <n v="16"/>
    <x v="0"/>
    <n v="0"/>
    <x v="0"/>
    <n v="1"/>
    <n v="2"/>
    <x v="2"/>
    <s v="FMCG"/>
    <n v="5"/>
    <n v="280360701"/>
    <s v="D"/>
    <d v="2021-12-30T00:00:00"/>
    <d v="2022-01-03T00:00:00"/>
    <d v="2026-01-31T00:00:00"/>
  </r>
  <r>
    <s v="LN00229"/>
    <s v="CUST0178"/>
    <x v="0"/>
    <s v="West"/>
    <s v="RM_8"/>
    <s v="LAP"/>
    <n v="13268348"/>
    <x v="228"/>
    <n v="1260373"/>
    <n v="0.91"/>
    <n v="12.36"/>
    <n v="19"/>
    <x v="0"/>
    <n v="0"/>
    <x v="0"/>
    <n v="1"/>
    <n v="5"/>
    <x v="1"/>
    <s v="FMCG"/>
    <n v="20"/>
    <n v="491868814"/>
    <s v="A"/>
    <d v="2023-07-02T00:00:00"/>
    <d v="2023-07-12T00:00:00"/>
    <d v="2026-01-31T00:00:00"/>
  </r>
  <r>
    <s v="LN00230"/>
    <s v="CUST0015"/>
    <x v="3"/>
    <s v="North"/>
    <s v="RM_10"/>
    <s v="OD"/>
    <n v="8714483"/>
    <x v="229"/>
    <n v="3256203"/>
    <n v="0.63"/>
    <n v="10.78"/>
    <n v="21"/>
    <x v="0"/>
    <n v="0"/>
    <x v="0"/>
    <n v="1"/>
    <n v="3"/>
    <x v="2"/>
    <s v="Pharma"/>
    <n v="12"/>
    <n v="169964796"/>
    <s v="D"/>
    <d v="2022-05-14T00:00:00"/>
    <d v="2022-05-17T00:00:00"/>
    <d v="2026-01-31T00:00:00"/>
  </r>
  <r>
    <s v="LN00231"/>
    <s v="CUST0092"/>
    <x v="3"/>
    <s v="North"/>
    <s v="RM_8"/>
    <s v="CC"/>
    <n v="13463714"/>
    <x v="230"/>
    <n v="3756132"/>
    <n v="0.72"/>
    <n v="13.83"/>
    <n v="9"/>
    <x v="0"/>
    <n v="0"/>
    <x v="0"/>
    <n v="1"/>
    <n v="0"/>
    <x v="1"/>
    <s v="Textile"/>
    <n v="9"/>
    <n v="90334188"/>
    <s v="A"/>
    <d v="2023-05-03T00:00:00"/>
    <d v="2023-05-04T00:00:00"/>
    <d v="2026-01-31T00:00:00"/>
  </r>
  <r>
    <s v="LN00232"/>
    <s v="CUST0132"/>
    <x v="0"/>
    <s v="North"/>
    <s v="RM_9"/>
    <s v="LAP"/>
    <n v="9235552"/>
    <x v="231"/>
    <n v="3413794"/>
    <n v="0.63"/>
    <n v="12.78"/>
    <n v="20"/>
    <x v="0"/>
    <n v="0"/>
    <x v="0"/>
    <n v="0"/>
    <n v="5"/>
    <x v="3"/>
    <s v="Electronics"/>
    <n v="6"/>
    <n v="210054299"/>
    <s v="B"/>
    <d v="2023-11-07T00:00:00"/>
    <d v="2023-11-16T00:00:00"/>
    <d v="2026-01-31T00:00:00"/>
  </r>
  <r>
    <s v="LN00233"/>
    <s v="CUST0179"/>
    <x v="2"/>
    <s v="West"/>
    <s v="RM_7"/>
    <s v="OD"/>
    <n v="8368840"/>
    <x v="232"/>
    <n v="1814990"/>
    <n v="0.78"/>
    <n v="12.5"/>
    <n v="28"/>
    <x v="0"/>
    <n v="0"/>
    <x v="0"/>
    <n v="1"/>
    <n v="1"/>
    <x v="1"/>
    <s v="Textile"/>
    <n v="6"/>
    <n v="136043853"/>
    <s v="B"/>
    <d v="2020-10-02T00:00:00"/>
    <d v="2020-10-12T00:00:00"/>
    <d v="2026-01-31T00:00:00"/>
  </r>
  <r>
    <s v="LN00234"/>
    <s v="CUST0056"/>
    <x v="1"/>
    <s v="East"/>
    <s v="RM_8"/>
    <s v="LAP"/>
    <n v="4408524"/>
    <x v="233"/>
    <n v="1148254"/>
    <n v="0.74"/>
    <n v="13.74"/>
    <n v="1"/>
    <x v="0"/>
    <n v="0"/>
    <x v="0"/>
    <n v="1"/>
    <n v="2"/>
    <x v="1"/>
    <s v="Electronics"/>
    <n v="13"/>
    <n v="15310892"/>
    <s v="D"/>
    <d v="2021-05-07T00:00:00"/>
    <d v="2021-05-15T00:00:00"/>
    <d v="2026-01-31T00:00:00"/>
  </r>
  <r>
    <s v="LN00235"/>
    <s v="CUST0107"/>
    <x v="3"/>
    <s v="North"/>
    <s v="RM_4"/>
    <s v="OD"/>
    <n v="6308340"/>
    <x v="234"/>
    <n v="449128"/>
    <n v="0.93"/>
    <n v="9.48"/>
    <n v="30"/>
    <x v="0"/>
    <n v="0"/>
    <x v="0"/>
    <n v="1"/>
    <n v="1"/>
    <x v="3"/>
    <s v="Textile"/>
    <n v="9"/>
    <n v="495166782"/>
    <s v="A"/>
    <d v="2022-04-01T00:00:00"/>
    <d v="2022-04-05T00:00:00"/>
    <d v="2026-01-31T00:00:00"/>
  </r>
  <r>
    <s v="LN00236"/>
    <s v="CUST0046"/>
    <x v="0"/>
    <s v="West"/>
    <s v="RM_7"/>
    <s v="CC"/>
    <n v="11654253"/>
    <x v="235"/>
    <n v="2423701"/>
    <n v="0.79"/>
    <n v="10.76"/>
    <n v="10"/>
    <x v="0"/>
    <n v="0"/>
    <x v="0"/>
    <n v="1"/>
    <n v="2"/>
    <x v="1"/>
    <s v="Auto Parts"/>
    <n v="16"/>
    <n v="464978329"/>
    <s v="C"/>
    <d v="2021-08-29T00:00:00"/>
    <d v="2021-09-07T00:00:00"/>
    <d v="2026-01-31T00:00:00"/>
  </r>
  <r>
    <s v="LN00237"/>
    <s v="CUST0110"/>
    <x v="0"/>
    <s v="East"/>
    <s v="RM_3"/>
    <s v="LAP"/>
    <n v="14491042"/>
    <x v="236"/>
    <n v="3909429"/>
    <n v="0.73"/>
    <n v="13.12"/>
    <n v="8"/>
    <x v="0"/>
    <n v="0"/>
    <x v="0"/>
    <n v="0"/>
    <n v="2"/>
    <x v="1"/>
    <s v="Pharma"/>
    <n v="10"/>
    <n v="38644608"/>
    <s v="C"/>
    <d v="2023-04-06T00:00:00"/>
    <d v="2023-04-10T00:00:00"/>
    <d v="2026-01-31T00:00:00"/>
  </r>
  <r>
    <s v="LN00238"/>
    <s v="CUST0151"/>
    <x v="1"/>
    <s v="South"/>
    <s v="RM_6"/>
    <s v="OD"/>
    <n v="5598235"/>
    <x v="237"/>
    <n v="1904379"/>
    <n v="0.66"/>
    <n v="10.59"/>
    <n v="31"/>
    <x v="1"/>
    <n v="0"/>
    <x v="1"/>
    <n v="0"/>
    <n v="3"/>
    <x v="3"/>
    <s v="Electronics"/>
    <n v="8"/>
    <n v="116047722"/>
    <s v="B"/>
    <d v="2020-02-12T00:00:00"/>
    <d v="2020-02-18T00:00:00"/>
    <d v="2026-01-31T00:00:00"/>
  </r>
  <r>
    <s v="LN00239"/>
    <s v="CUST0028"/>
    <x v="0"/>
    <s v="West"/>
    <s v="RM_3"/>
    <s v="CC"/>
    <n v="12631029"/>
    <x v="238"/>
    <n v="2873200"/>
    <n v="0.77"/>
    <n v="10.42"/>
    <n v="88"/>
    <x v="3"/>
    <n v="0"/>
    <x v="2"/>
    <n v="1"/>
    <n v="3"/>
    <x v="1"/>
    <s v="Textile"/>
    <n v="9"/>
    <n v="146810920"/>
    <s v="D"/>
    <d v="2021-03-06T00:00:00"/>
    <d v="2021-03-11T00:00:00"/>
    <d v="2026-01-31T00:00:00"/>
  </r>
  <r>
    <s v="LN00240"/>
    <s v="CUST0061"/>
    <x v="3"/>
    <s v="West"/>
    <s v="RM_9"/>
    <s v="OD"/>
    <n v="8415295"/>
    <x v="239"/>
    <n v="2319405"/>
    <n v="0.72"/>
    <n v="9.52"/>
    <n v="28"/>
    <x v="0"/>
    <n v="0"/>
    <x v="0"/>
    <n v="0"/>
    <n v="3"/>
    <x v="3"/>
    <s v="Electronics"/>
    <n v="10"/>
    <n v="474181930"/>
    <s v="B"/>
    <d v="2022-03-08T00:00:00"/>
    <d v="2022-03-11T00:00:00"/>
    <d v="2026-01-31T00:00:00"/>
  </r>
  <r>
    <s v="LN00241"/>
    <s v="CUST0046"/>
    <x v="3"/>
    <s v="North"/>
    <s v="RM_9"/>
    <s v="CC"/>
    <n v="11797256"/>
    <x v="240"/>
    <n v="1325981"/>
    <n v="0.89"/>
    <n v="9.43"/>
    <n v="0"/>
    <x v="0"/>
    <n v="0"/>
    <x v="0"/>
    <n v="1"/>
    <n v="1"/>
    <x v="1"/>
    <s v="Textile"/>
    <n v="21"/>
    <n v="350864982"/>
    <s v="D"/>
    <d v="2022-04-10T00:00:00"/>
    <d v="2022-04-11T00:00:00"/>
    <d v="2026-01-31T00:00:00"/>
  </r>
  <r>
    <s v="LN00242"/>
    <s v="CUST0047"/>
    <x v="3"/>
    <s v="West"/>
    <s v="RM_4"/>
    <s v="Term Loan"/>
    <n v="9707091"/>
    <x v="241"/>
    <n v="1007817"/>
    <n v="0.9"/>
    <n v="13.2"/>
    <n v="54"/>
    <x v="1"/>
    <n v="0"/>
    <x v="1"/>
    <n v="0"/>
    <n v="0"/>
    <x v="1"/>
    <s v="Auto Parts"/>
    <n v="5"/>
    <n v="499053837"/>
    <s v="A"/>
    <d v="2022-01-07T00:00:00"/>
    <d v="2022-01-11T00:00:00"/>
    <d v="2026-01-31T00:00:00"/>
  </r>
  <r>
    <s v="LN00243"/>
    <s v="CUST0192"/>
    <x v="0"/>
    <s v="West"/>
    <s v="RM_5"/>
    <s v="Term Loan"/>
    <n v="13693510"/>
    <x v="242"/>
    <n v="4391471"/>
    <n v="0.68"/>
    <n v="10.29"/>
    <n v="23"/>
    <x v="0"/>
    <n v="0"/>
    <x v="0"/>
    <n v="1"/>
    <n v="5"/>
    <x v="0"/>
    <s v="Auto Parts"/>
    <n v="8"/>
    <n v="367227857"/>
    <s v="C"/>
    <d v="2023-07-28T00:00:00"/>
    <d v="2023-07-31T00:00:00"/>
    <d v="2026-01-31T00:00:00"/>
  </r>
  <r>
    <s v="LN00244"/>
    <s v="CUST0031"/>
    <x v="3"/>
    <s v="East"/>
    <s v="RM_4"/>
    <s v="CC"/>
    <n v="9892063"/>
    <x v="243"/>
    <n v="1172930"/>
    <n v="0.88"/>
    <n v="11.09"/>
    <n v="19"/>
    <x v="0"/>
    <n v="0"/>
    <x v="0"/>
    <n v="1"/>
    <n v="1"/>
    <x v="1"/>
    <s v="Electronics"/>
    <n v="15"/>
    <n v="406636554"/>
    <s v="B"/>
    <d v="2023-02-15T00:00:00"/>
    <d v="2023-02-17T00:00:00"/>
    <d v="2026-01-31T00:00:00"/>
  </r>
  <r>
    <s v="LN00245"/>
    <s v="CUST0022"/>
    <x v="0"/>
    <s v="East"/>
    <s v="RM_2"/>
    <s v="Term Loan"/>
    <n v="11413440"/>
    <x v="244"/>
    <n v="4272308"/>
    <n v="0.63"/>
    <n v="11.72"/>
    <n v="39"/>
    <x v="1"/>
    <n v="0"/>
    <x v="1"/>
    <n v="1"/>
    <n v="3"/>
    <x v="1"/>
    <s v="Pharma"/>
    <n v="16"/>
    <n v="100954398"/>
    <s v="A"/>
    <d v="2020-01-08T00:00:00"/>
    <d v="2020-01-13T00:00:00"/>
    <d v="2026-01-31T00:00:00"/>
  </r>
  <r>
    <s v="LN00246"/>
    <s v="CUST0019"/>
    <x v="0"/>
    <s v="East"/>
    <s v="RM_7"/>
    <s v="Term Loan"/>
    <n v="12699890"/>
    <x v="245"/>
    <n v="3588222"/>
    <n v="0.72"/>
    <n v="9.94"/>
    <n v="19"/>
    <x v="0"/>
    <n v="0"/>
    <x v="0"/>
    <n v="1"/>
    <n v="3"/>
    <x v="1"/>
    <s v="Textile"/>
    <n v="16"/>
    <n v="469494714"/>
    <s v="C"/>
    <d v="2021-02-14T00:00:00"/>
    <d v="2021-02-22T00:00:00"/>
    <d v="2026-01-31T00:00:00"/>
  </r>
  <r>
    <s v="LN00247"/>
    <s v="CUST0127"/>
    <x v="3"/>
    <s v="South"/>
    <s v="RM_10"/>
    <s v="OD"/>
    <n v="11252542"/>
    <x v="246"/>
    <n v="1954369"/>
    <n v="0.83"/>
    <n v="12.45"/>
    <n v="12"/>
    <x v="0"/>
    <n v="0"/>
    <x v="0"/>
    <n v="1"/>
    <n v="0"/>
    <x v="0"/>
    <s v="Auto Parts"/>
    <n v="23"/>
    <n v="191522054"/>
    <s v="A"/>
    <d v="2020-04-06T00:00:00"/>
    <d v="2020-04-11T00:00:00"/>
    <d v="2026-01-31T00:00:00"/>
  </r>
  <r>
    <s v="LN00248"/>
    <s v="CUST0178"/>
    <x v="3"/>
    <s v="East"/>
    <s v="RM_1"/>
    <s v="CC"/>
    <n v="8285995"/>
    <x v="247"/>
    <n v="2244804"/>
    <n v="0.73"/>
    <n v="13.92"/>
    <n v="27"/>
    <x v="0"/>
    <n v="0"/>
    <x v="0"/>
    <n v="0"/>
    <n v="0"/>
    <x v="1"/>
    <s v="Pharma"/>
    <n v="20"/>
    <n v="334608563"/>
    <s v="D"/>
    <d v="2020-04-24T00:00:00"/>
    <d v="2020-05-02T00:00:00"/>
    <d v="2026-01-31T00:00:00"/>
  </r>
  <r>
    <s v="LN00249"/>
    <s v="CUST0147"/>
    <x v="1"/>
    <s v="East"/>
    <s v="RM_5"/>
    <s v="LAP"/>
    <n v="4782949"/>
    <x v="248"/>
    <n v="425284"/>
    <n v="0.91"/>
    <n v="12.28"/>
    <n v="26"/>
    <x v="0"/>
    <n v="0"/>
    <x v="0"/>
    <n v="0"/>
    <n v="0"/>
    <x v="3"/>
    <s v="Auto Parts"/>
    <n v="9"/>
    <n v="480768368"/>
    <s v="C"/>
    <d v="2020-03-19T00:00:00"/>
    <d v="2020-03-24T00:00:00"/>
    <d v="2026-01-31T00:00:00"/>
  </r>
  <r>
    <s v="LN00250"/>
    <s v="CUST0008"/>
    <x v="3"/>
    <s v="North"/>
    <s v="RM_2"/>
    <s v="LAP"/>
    <n v="8170495"/>
    <x v="249"/>
    <n v="631677"/>
    <n v="0.92"/>
    <n v="11.75"/>
    <n v="24"/>
    <x v="0"/>
    <n v="0"/>
    <x v="0"/>
    <n v="0"/>
    <n v="1"/>
    <x v="0"/>
    <s v="FMCG"/>
    <n v="23"/>
    <n v="395119295"/>
    <s v="C"/>
    <d v="2023-04-02T00:00:00"/>
    <d v="2023-04-07T00:00:00"/>
    <d v="2026-01-31T00:00:00"/>
  </r>
  <r>
    <s v="LN00251"/>
    <s v="CUST0182"/>
    <x v="1"/>
    <s v="East"/>
    <s v="RM_7"/>
    <s v="OD"/>
    <n v="14262788"/>
    <x v="250"/>
    <n v="804660"/>
    <n v="0.94"/>
    <n v="13.38"/>
    <n v="13"/>
    <x v="0"/>
    <n v="0"/>
    <x v="0"/>
    <n v="0"/>
    <n v="4"/>
    <x v="1"/>
    <s v="Auto Parts"/>
    <n v="12"/>
    <n v="82927922"/>
    <s v="B"/>
    <d v="2020-04-04T00:00:00"/>
    <d v="2020-04-06T00:00:00"/>
    <d v="2026-01-31T00:00:00"/>
  </r>
  <r>
    <s v="LN00252"/>
    <s v="CUST0171"/>
    <x v="0"/>
    <s v="North"/>
    <s v="RM_4"/>
    <s v="CC"/>
    <n v="11512777"/>
    <x v="251"/>
    <n v="2914688"/>
    <n v="0.75"/>
    <n v="13.88"/>
    <n v="12"/>
    <x v="0"/>
    <n v="0"/>
    <x v="0"/>
    <n v="1"/>
    <n v="5"/>
    <x v="0"/>
    <s v="FMCG"/>
    <n v="7"/>
    <n v="175536978"/>
    <s v="B"/>
    <d v="2021-08-23T00:00:00"/>
    <d v="2021-08-26T00:00:00"/>
    <d v="2026-01-31T00:00:00"/>
  </r>
  <r>
    <s v="LN00253"/>
    <s v="CUST0199"/>
    <x v="1"/>
    <s v="East"/>
    <s v="RM_2"/>
    <s v="LAP"/>
    <n v="14216757"/>
    <x v="252"/>
    <n v="5338418"/>
    <n v="0.62"/>
    <n v="9.02"/>
    <n v="107"/>
    <x v="2"/>
    <n v="1"/>
    <x v="2"/>
    <n v="1"/>
    <n v="2"/>
    <x v="0"/>
    <s v="FMCG"/>
    <n v="2"/>
    <n v="345257799"/>
    <s v="B"/>
    <d v="2020-09-01T00:00:00"/>
    <d v="2020-09-06T00:00:00"/>
    <d v="2026-01-31T00:00:00"/>
  </r>
  <r>
    <s v="LN00254"/>
    <s v="CUST0066"/>
    <x v="3"/>
    <s v="East"/>
    <s v="RM_10"/>
    <s v="OD"/>
    <n v="14544020"/>
    <x v="253"/>
    <n v="2348551"/>
    <n v="0.84"/>
    <n v="13.98"/>
    <n v="18"/>
    <x v="0"/>
    <n v="0"/>
    <x v="0"/>
    <n v="1"/>
    <n v="1"/>
    <x v="3"/>
    <s v="Textile"/>
    <n v="17"/>
    <n v="352818011"/>
    <s v="D"/>
    <d v="2021-07-29T00:00:00"/>
    <d v="2021-07-30T00:00:00"/>
    <d v="2026-01-31T00:00:00"/>
  </r>
  <r>
    <s v="LN00255"/>
    <s v="CUST0085"/>
    <x v="1"/>
    <s v="West"/>
    <s v="RM_10"/>
    <s v="CC"/>
    <n v="11145402"/>
    <x v="254"/>
    <n v="2011524"/>
    <n v="0.82"/>
    <n v="11.12"/>
    <n v="102"/>
    <x v="2"/>
    <n v="1"/>
    <x v="2"/>
    <n v="1"/>
    <n v="3"/>
    <x v="2"/>
    <s v="Electronics"/>
    <n v="2"/>
    <n v="92002812"/>
    <s v="B"/>
    <d v="2021-08-18T00:00:00"/>
    <d v="2021-08-20T00:00:00"/>
    <d v="2026-01-31T00:00:00"/>
  </r>
  <r>
    <s v="LN00256"/>
    <s v="CUST0120"/>
    <x v="3"/>
    <s v="North"/>
    <s v="RM_8"/>
    <s v="Term Loan"/>
    <n v="2502724"/>
    <x v="255"/>
    <n v="832371"/>
    <n v="0.67"/>
    <n v="13.69"/>
    <n v="24"/>
    <x v="0"/>
    <n v="0"/>
    <x v="0"/>
    <n v="1"/>
    <n v="0"/>
    <x v="3"/>
    <s v="Auto Parts"/>
    <n v="9"/>
    <n v="180224725"/>
    <s v="B"/>
    <d v="2020-12-31T00:00:00"/>
    <d v="2021-01-05T00:00:00"/>
    <d v="2026-01-31T00:00:00"/>
  </r>
  <r>
    <s v="LN00257"/>
    <s v="CUST0006"/>
    <x v="3"/>
    <s v="North"/>
    <s v="RM_2"/>
    <s v="OD"/>
    <n v="13616851"/>
    <x v="256"/>
    <n v="3888756"/>
    <n v="0.71"/>
    <n v="11.47"/>
    <n v="8"/>
    <x v="0"/>
    <n v="0"/>
    <x v="0"/>
    <n v="1"/>
    <n v="5"/>
    <x v="1"/>
    <s v="Textile"/>
    <n v="24"/>
    <n v="275902070"/>
    <s v="B"/>
    <d v="2023-05-03T00:00:00"/>
    <d v="2023-05-13T00:00:00"/>
    <d v="2026-01-31T00:00:00"/>
  </r>
  <r>
    <s v="LN00258"/>
    <s v="CUST0086"/>
    <x v="1"/>
    <s v="North"/>
    <s v="RM_9"/>
    <s v="Term Loan"/>
    <n v="14155720"/>
    <x v="257"/>
    <n v="1445490"/>
    <n v="0.9"/>
    <n v="9.5"/>
    <n v="62"/>
    <x v="3"/>
    <n v="0"/>
    <x v="2"/>
    <n v="1"/>
    <n v="2"/>
    <x v="2"/>
    <s v="Textile"/>
    <n v="5"/>
    <n v="74225934"/>
    <s v="C"/>
    <d v="2024-01-31T00:00:00"/>
    <d v="2024-02-09T00:00:00"/>
    <d v="2026-01-31T00:00:00"/>
  </r>
  <r>
    <s v="LN00259"/>
    <s v="CUST0055"/>
    <x v="0"/>
    <s v="South"/>
    <s v="RM_5"/>
    <s v="Term Loan"/>
    <n v="12370304"/>
    <x v="258"/>
    <n v="3327174"/>
    <n v="0.73"/>
    <n v="12.09"/>
    <n v="13"/>
    <x v="0"/>
    <n v="0"/>
    <x v="0"/>
    <n v="1"/>
    <n v="2"/>
    <x v="1"/>
    <s v="Electronics"/>
    <n v="2"/>
    <n v="226488726"/>
    <s v="C"/>
    <d v="2021-05-14T00:00:00"/>
    <d v="2021-05-15T00:00:00"/>
    <d v="2026-01-31T00:00:00"/>
  </r>
  <r>
    <s v="LN00260"/>
    <s v="CUST0149"/>
    <x v="3"/>
    <s v="West"/>
    <s v="RM_1"/>
    <s v="LAP"/>
    <n v="8586046"/>
    <x v="259"/>
    <n v="858628"/>
    <n v="0.9"/>
    <n v="10.96"/>
    <n v="15"/>
    <x v="0"/>
    <n v="0"/>
    <x v="0"/>
    <n v="0"/>
    <n v="3"/>
    <x v="3"/>
    <s v="FMCG"/>
    <n v="13"/>
    <n v="389324304"/>
    <s v="D"/>
    <d v="2021-05-17T00:00:00"/>
    <d v="2021-05-21T00:00:00"/>
    <d v="2026-01-31T00:00:00"/>
  </r>
  <r>
    <s v="LN00261"/>
    <s v="CUST0084"/>
    <x v="0"/>
    <s v="South"/>
    <s v="RM_9"/>
    <s v="LAP"/>
    <n v="11882256"/>
    <x v="260"/>
    <n v="3725639"/>
    <n v="0.69"/>
    <n v="12.96"/>
    <n v="20"/>
    <x v="0"/>
    <n v="0"/>
    <x v="0"/>
    <n v="1"/>
    <n v="5"/>
    <x v="1"/>
    <s v="Pharma"/>
    <n v="19"/>
    <n v="353851017"/>
    <s v="B"/>
    <d v="2021-04-17T00:00:00"/>
    <d v="2021-04-24T00:00:00"/>
    <d v="2026-01-31T00:00:00"/>
  </r>
  <r>
    <s v="LN00262"/>
    <s v="CUST0134"/>
    <x v="1"/>
    <s v="East"/>
    <s v="RM_2"/>
    <s v="CC"/>
    <n v="8564240"/>
    <x v="261"/>
    <n v="945306"/>
    <n v="0.89"/>
    <n v="12.42"/>
    <n v="15"/>
    <x v="0"/>
    <n v="0"/>
    <x v="0"/>
    <n v="1"/>
    <n v="1"/>
    <x v="2"/>
    <s v="Pharma"/>
    <n v="19"/>
    <n v="329643025"/>
    <s v="C"/>
    <d v="2020-04-02T00:00:00"/>
    <d v="2020-04-12T00:00:00"/>
    <d v="2026-01-31T00:00:00"/>
  </r>
  <r>
    <s v="LN00263"/>
    <s v="CUST0112"/>
    <x v="0"/>
    <s v="East"/>
    <s v="RM_7"/>
    <s v="Term Loan"/>
    <n v="2364729"/>
    <x v="262"/>
    <n v="439002"/>
    <n v="0.81"/>
    <n v="12.43"/>
    <n v="10"/>
    <x v="0"/>
    <n v="0"/>
    <x v="0"/>
    <n v="1"/>
    <n v="4"/>
    <x v="3"/>
    <s v="Electronics"/>
    <n v="9"/>
    <n v="7123436"/>
    <s v="A"/>
    <d v="2020-04-10T00:00:00"/>
    <d v="2020-04-17T00:00:00"/>
    <d v="2026-01-31T00:00:00"/>
  </r>
  <r>
    <s v="LN00264"/>
    <s v="CUST0131"/>
    <x v="1"/>
    <s v="North"/>
    <s v="RM_6"/>
    <s v="OD"/>
    <n v="14214104"/>
    <x v="263"/>
    <n v="4899007"/>
    <n v="0.66"/>
    <n v="13.9"/>
    <n v="17"/>
    <x v="0"/>
    <n v="0"/>
    <x v="0"/>
    <n v="0"/>
    <n v="1"/>
    <x v="0"/>
    <s v="FMCG"/>
    <n v="21"/>
    <n v="386557632"/>
    <s v="B"/>
    <d v="2022-02-27T00:00:00"/>
    <d v="2022-03-02T00:00:00"/>
    <d v="2026-01-31T00:00:00"/>
  </r>
  <r>
    <s v="LN00265"/>
    <s v="CUST0039"/>
    <x v="3"/>
    <s v="South"/>
    <s v="RM_3"/>
    <s v="Term Loan"/>
    <n v="3538935"/>
    <x v="264"/>
    <n v="1367653"/>
    <n v="0.61"/>
    <n v="9.16"/>
    <n v="5"/>
    <x v="0"/>
    <n v="0"/>
    <x v="0"/>
    <n v="0"/>
    <n v="2"/>
    <x v="0"/>
    <s v="FMCG"/>
    <n v="16"/>
    <n v="205278026"/>
    <s v="D"/>
    <d v="2022-02-19T00:00:00"/>
    <d v="2022-02-20T00:00:00"/>
    <d v="2026-01-31T00:00:00"/>
  </r>
  <r>
    <s v="LN00266"/>
    <s v="CUST0069"/>
    <x v="2"/>
    <s v="North"/>
    <s v="RM_1"/>
    <s v="Term Loan"/>
    <n v="14272699"/>
    <x v="265"/>
    <n v="2390675"/>
    <n v="0.83"/>
    <n v="13.83"/>
    <n v="30"/>
    <x v="0"/>
    <n v="0"/>
    <x v="0"/>
    <n v="0"/>
    <n v="5"/>
    <x v="2"/>
    <s v="Pharma"/>
    <n v="18"/>
    <n v="340556327"/>
    <s v="A"/>
    <d v="2020-05-17T00:00:00"/>
    <d v="2020-05-20T00:00:00"/>
    <d v="2026-01-31T00:00:00"/>
  </r>
  <r>
    <s v="LN00267"/>
    <s v="CUST0086"/>
    <x v="2"/>
    <s v="South"/>
    <s v="RM_2"/>
    <s v="Term Loan"/>
    <n v="6241026"/>
    <x v="266"/>
    <n v="715757"/>
    <n v="0.89"/>
    <n v="9.77"/>
    <n v="16"/>
    <x v="0"/>
    <n v="0"/>
    <x v="0"/>
    <n v="0"/>
    <n v="3"/>
    <x v="0"/>
    <s v="Auto Parts"/>
    <n v="9"/>
    <n v="211519643"/>
    <s v="B"/>
    <d v="2023-06-10T00:00:00"/>
    <d v="2023-06-16T00:00:00"/>
    <d v="2026-01-31T00:00:00"/>
  </r>
  <r>
    <s v="LN00268"/>
    <s v="CUST0100"/>
    <x v="0"/>
    <s v="West"/>
    <s v="RM_3"/>
    <s v="OD"/>
    <n v="9786720"/>
    <x v="267"/>
    <n v="1144626"/>
    <n v="0.88"/>
    <n v="11.8"/>
    <n v="11"/>
    <x v="0"/>
    <n v="0"/>
    <x v="0"/>
    <n v="1"/>
    <n v="4"/>
    <x v="0"/>
    <s v="Electronics"/>
    <n v="23"/>
    <n v="484683100"/>
    <s v="D"/>
    <d v="2024-01-21T00:00:00"/>
    <d v="2024-01-23T00:00:00"/>
    <d v="2026-01-31T00:00:00"/>
  </r>
  <r>
    <s v="LN00269"/>
    <s v="CUST0005"/>
    <x v="3"/>
    <s v="North"/>
    <s v="RM_9"/>
    <s v="OD"/>
    <n v="7189803"/>
    <x v="268"/>
    <n v="366478"/>
    <n v="0.95"/>
    <n v="9.11"/>
    <n v="9"/>
    <x v="0"/>
    <n v="0"/>
    <x v="0"/>
    <n v="1"/>
    <n v="5"/>
    <x v="0"/>
    <s v="Pharma"/>
    <n v="1"/>
    <n v="392886109"/>
    <s v="B"/>
    <d v="2022-07-13T00:00:00"/>
    <d v="2022-07-21T00:00:00"/>
    <d v="2026-01-31T00:00:00"/>
  </r>
  <r>
    <s v="LN00270"/>
    <s v="CUST0019"/>
    <x v="1"/>
    <s v="West"/>
    <s v="RM_3"/>
    <s v="Term Loan"/>
    <n v="6700406"/>
    <x v="269"/>
    <n v="2031256"/>
    <n v="0.7"/>
    <n v="11.48"/>
    <n v="3"/>
    <x v="0"/>
    <n v="0"/>
    <x v="0"/>
    <n v="0"/>
    <n v="5"/>
    <x v="2"/>
    <s v="Auto Parts"/>
    <n v="5"/>
    <n v="175898683"/>
    <s v="C"/>
    <d v="2023-11-30T00:00:00"/>
    <d v="2023-12-01T00:00:00"/>
    <d v="2026-01-31T00:00:00"/>
  </r>
  <r>
    <s v="LN00271"/>
    <s v="CUST0065"/>
    <x v="0"/>
    <s v="South"/>
    <s v="RM_5"/>
    <s v="CC"/>
    <n v="13963262"/>
    <x v="270"/>
    <n v="4135322"/>
    <n v="0.7"/>
    <n v="12.19"/>
    <n v="20"/>
    <x v="0"/>
    <n v="0"/>
    <x v="0"/>
    <n v="1"/>
    <n v="3"/>
    <x v="2"/>
    <s v="Auto Parts"/>
    <n v="19"/>
    <n v="68373981"/>
    <s v="C"/>
    <d v="2020-08-07T00:00:00"/>
    <d v="2020-08-09T00:00:00"/>
    <d v="2026-01-31T00:00:00"/>
  </r>
  <r>
    <s v="LN00272"/>
    <s v="CUST0094"/>
    <x v="0"/>
    <s v="North"/>
    <s v="RM_2"/>
    <s v="CC"/>
    <n v="10420100"/>
    <x v="271"/>
    <n v="2883112"/>
    <n v="0.72"/>
    <n v="13.18"/>
    <n v="17"/>
    <x v="0"/>
    <n v="0"/>
    <x v="0"/>
    <n v="0"/>
    <n v="1"/>
    <x v="1"/>
    <s v="FMCG"/>
    <n v="1"/>
    <n v="143315059"/>
    <s v="A"/>
    <d v="2022-04-30T00:00:00"/>
    <d v="2022-05-04T00:00:00"/>
    <d v="2026-01-31T00:00:00"/>
  </r>
  <r>
    <s v="LN00273"/>
    <s v="CUST0175"/>
    <x v="1"/>
    <s v="East"/>
    <s v="RM_3"/>
    <s v="LAP"/>
    <n v="6604774"/>
    <x v="272"/>
    <n v="2414427"/>
    <n v="0.63"/>
    <n v="12.56"/>
    <n v="0"/>
    <x v="0"/>
    <n v="0"/>
    <x v="0"/>
    <n v="1"/>
    <n v="5"/>
    <x v="2"/>
    <s v="Textile"/>
    <n v="24"/>
    <n v="465588453"/>
    <s v="A"/>
    <d v="2022-01-12T00:00:00"/>
    <d v="2022-01-21T00:00:00"/>
    <d v="2026-01-31T00:00:00"/>
  </r>
  <r>
    <s v="LN00274"/>
    <s v="CUST0024"/>
    <x v="3"/>
    <s v="North"/>
    <s v="RM_10"/>
    <s v="CC"/>
    <n v="10110939"/>
    <x v="273"/>
    <n v="1482342"/>
    <n v="0.85"/>
    <n v="11.77"/>
    <n v="2"/>
    <x v="0"/>
    <n v="0"/>
    <x v="0"/>
    <n v="0"/>
    <n v="5"/>
    <x v="3"/>
    <s v="Electronics"/>
    <n v="12"/>
    <n v="469936343"/>
    <s v="B"/>
    <d v="2020-07-12T00:00:00"/>
    <d v="2020-07-14T00:00:00"/>
    <d v="2026-01-31T00:00:00"/>
  </r>
  <r>
    <s v="LN00275"/>
    <s v="CUST0018"/>
    <x v="2"/>
    <s v="West"/>
    <s v="RM_4"/>
    <s v="OD"/>
    <n v="4337169"/>
    <x v="274"/>
    <n v="808233"/>
    <n v="0.81"/>
    <n v="14.42"/>
    <n v="28"/>
    <x v="0"/>
    <n v="0"/>
    <x v="0"/>
    <n v="0"/>
    <n v="1"/>
    <x v="3"/>
    <s v="Electronics"/>
    <n v="14"/>
    <n v="314915960"/>
    <s v="A"/>
    <d v="2021-10-30T00:00:00"/>
    <d v="2021-11-04T00:00:00"/>
    <d v="2026-01-31T00:00:00"/>
  </r>
  <r>
    <s v="LN00276"/>
    <s v="CUST0047"/>
    <x v="2"/>
    <s v="East"/>
    <s v="RM_2"/>
    <s v="LAP"/>
    <n v="6622064"/>
    <x v="275"/>
    <n v="1170012"/>
    <n v="0.82"/>
    <n v="11.82"/>
    <n v="16"/>
    <x v="0"/>
    <n v="0"/>
    <x v="0"/>
    <n v="1"/>
    <n v="5"/>
    <x v="3"/>
    <s v="FMCG"/>
    <n v="2"/>
    <n v="188745315"/>
    <s v="A"/>
    <d v="2020-06-14T00:00:00"/>
    <d v="2020-06-18T00:00:00"/>
    <d v="2026-01-31T00:00:00"/>
  </r>
  <r>
    <s v="LN00277"/>
    <s v="CUST0184"/>
    <x v="3"/>
    <s v="North"/>
    <s v="RM_1"/>
    <s v="OD"/>
    <n v="13140523"/>
    <x v="276"/>
    <n v="4155561"/>
    <n v="0.68"/>
    <n v="9.5299999999999994"/>
    <n v="30"/>
    <x v="0"/>
    <n v="0"/>
    <x v="0"/>
    <n v="0"/>
    <n v="5"/>
    <x v="3"/>
    <s v="Pharma"/>
    <n v="20"/>
    <n v="277070065"/>
    <s v="C"/>
    <d v="2021-12-02T00:00:00"/>
    <d v="2021-12-11T00:00:00"/>
    <d v="2026-01-31T00:00:00"/>
  </r>
  <r>
    <s v="LN00278"/>
    <s v="CUST0157"/>
    <x v="0"/>
    <s v="West"/>
    <s v="RM_3"/>
    <s v="OD"/>
    <n v="12616258"/>
    <x v="277"/>
    <n v="1444450"/>
    <n v="0.89"/>
    <n v="10.64"/>
    <n v="4"/>
    <x v="0"/>
    <n v="0"/>
    <x v="0"/>
    <n v="0"/>
    <n v="3"/>
    <x v="1"/>
    <s v="Pharma"/>
    <n v="6"/>
    <n v="425030237"/>
    <s v="C"/>
    <d v="2021-06-15T00:00:00"/>
    <d v="2021-06-23T00:00:00"/>
    <d v="2026-01-31T00:00:00"/>
  </r>
  <r>
    <s v="LN00279"/>
    <s v="CUST0172"/>
    <x v="0"/>
    <s v="North"/>
    <s v="RM_4"/>
    <s v="CC"/>
    <n v="5405717"/>
    <x v="278"/>
    <n v="435124"/>
    <n v="0.92"/>
    <n v="9.57"/>
    <n v="60"/>
    <x v="1"/>
    <n v="0"/>
    <x v="1"/>
    <n v="1"/>
    <n v="0"/>
    <x v="1"/>
    <s v="FMCG"/>
    <n v="1"/>
    <n v="372122341"/>
    <s v="D"/>
    <d v="2022-06-21T00:00:00"/>
    <d v="2022-06-29T00:00:00"/>
    <d v="2026-01-31T00:00:00"/>
  </r>
  <r>
    <s v="LN00280"/>
    <s v="CUST0084"/>
    <x v="2"/>
    <s v="South"/>
    <s v="RM_1"/>
    <s v="LAP"/>
    <n v="7366054"/>
    <x v="279"/>
    <n v="2349964"/>
    <n v="0.68"/>
    <n v="14.4"/>
    <n v="16"/>
    <x v="0"/>
    <n v="0"/>
    <x v="0"/>
    <n v="0"/>
    <n v="5"/>
    <x v="0"/>
    <s v="FMCG"/>
    <n v="5"/>
    <n v="424852288"/>
    <s v="B"/>
    <d v="2020-06-20T00:00:00"/>
    <d v="2020-06-26T00:00:00"/>
    <d v="2026-01-31T00:00:00"/>
  </r>
  <r>
    <s v="LN00281"/>
    <s v="CUST0144"/>
    <x v="3"/>
    <s v="South"/>
    <s v="RM_4"/>
    <s v="Term Loan"/>
    <n v="6174186"/>
    <x v="280"/>
    <n v="372292"/>
    <n v="0.94"/>
    <n v="11.77"/>
    <n v="11"/>
    <x v="0"/>
    <n v="0"/>
    <x v="0"/>
    <n v="1"/>
    <n v="2"/>
    <x v="3"/>
    <s v="Textile"/>
    <n v="12"/>
    <n v="179791588"/>
    <s v="A"/>
    <d v="2020-11-18T00:00:00"/>
    <d v="2020-11-21T00:00:00"/>
    <d v="2026-01-31T00:00:00"/>
  </r>
  <r>
    <s v="LN00282"/>
    <s v="CUST0162"/>
    <x v="3"/>
    <s v="West"/>
    <s v="RM_3"/>
    <s v="LAP"/>
    <n v="5794593"/>
    <x v="281"/>
    <n v="1909943"/>
    <n v="0.67"/>
    <n v="11.45"/>
    <n v="21"/>
    <x v="0"/>
    <n v="0"/>
    <x v="0"/>
    <n v="0"/>
    <n v="1"/>
    <x v="1"/>
    <s v="Pharma"/>
    <n v="22"/>
    <n v="340631208"/>
    <s v="C"/>
    <d v="2020-08-03T00:00:00"/>
    <d v="2020-08-12T00:00:00"/>
    <d v="2026-01-31T00:00:00"/>
  </r>
  <r>
    <s v="LN00283"/>
    <s v="CUST0028"/>
    <x v="3"/>
    <s v="North"/>
    <s v="RM_8"/>
    <s v="LAP"/>
    <n v="12562130"/>
    <x v="282"/>
    <n v="1488797"/>
    <n v="0.88"/>
    <n v="9.52"/>
    <n v="16"/>
    <x v="0"/>
    <n v="0"/>
    <x v="0"/>
    <n v="0"/>
    <n v="3"/>
    <x v="1"/>
    <s v="Textile"/>
    <n v="21"/>
    <n v="99975192"/>
    <s v="B"/>
    <d v="2020-01-02T00:00:00"/>
    <d v="2020-01-10T00:00:00"/>
    <d v="2026-01-31T00:00:00"/>
  </r>
  <r>
    <s v="LN00284"/>
    <s v="CUST0154"/>
    <x v="0"/>
    <s v="East"/>
    <s v="RM_9"/>
    <s v="CC"/>
    <n v="3859883"/>
    <x v="283"/>
    <n v="1029298"/>
    <n v="0.73"/>
    <n v="10.82"/>
    <n v="29"/>
    <x v="0"/>
    <n v="0"/>
    <x v="0"/>
    <n v="1"/>
    <n v="5"/>
    <x v="2"/>
    <s v="FMCG"/>
    <n v="19"/>
    <n v="264454263"/>
    <s v="A"/>
    <d v="2021-04-19T00:00:00"/>
    <d v="2021-04-22T00:00:00"/>
    <d v="2026-01-31T00:00:00"/>
  </r>
  <r>
    <s v="LN00285"/>
    <s v="CUST0112"/>
    <x v="1"/>
    <s v="West"/>
    <s v="RM_9"/>
    <s v="OD"/>
    <n v="8003791"/>
    <x v="284"/>
    <n v="901053"/>
    <n v="0.89"/>
    <n v="14.27"/>
    <n v="1"/>
    <x v="0"/>
    <n v="0"/>
    <x v="0"/>
    <n v="1"/>
    <n v="5"/>
    <x v="1"/>
    <s v="Textile"/>
    <n v="8"/>
    <n v="423253656"/>
    <s v="D"/>
    <d v="2021-09-03T00:00:00"/>
    <d v="2021-09-11T00:00:00"/>
    <d v="2026-01-31T00:00:00"/>
  </r>
  <r>
    <s v="LN00286"/>
    <s v="CUST0078"/>
    <x v="3"/>
    <s v="West"/>
    <s v="RM_2"/>
    <s v="OD"/>
    <n v="8681635"/>
    <x v="285"/>
    <n v="488123"/>
    <n v="0.94"/>
    <n v="11.6"/>
    <n v="25"/>
    <x v="0"/>
    <n v="0"/>
    <x v="0"/>
    <n v="0"/>
    <n v="1"/>
    <x v="3"/>
    <s v="Pharma"/>
    <n v="25"/>
    <n v="111991591"/>
    <s v="D"/>
    <d v="2022-06-24T00:00:00"/>
    <d v="2022-06-25T00:00:00"/>
    <d v="2026-01-31T00:00:00"/>
  </r>
  <r>
    <s v="LN00287"/>
    <s v="CUST0144"/>
    <x v="0"/>
    <s v="South"/>
    <s v="RM_6"/>
    <s v="LAP"/>
    <n v="9182700"/>
    <x v="286"/>
    <n v="1730697"/>
    <n v="0.81"/>
    <n v="13.58"/>
    <n v="26"/>
    <x v="0"/>
    <n v="0"/>
    <x v="0"/>
    <n v="0"/>
    <n v="4"/>
    <x v="0"/>
    <s v="FMCG"/>
    <n v="3"/>
    <n v="129305226"/>
    <s v="C"/>
    <d v="2023-06-14T00:00:00"/>
    <d v="2023-06-22T00:00:00"/>
    <d v="2026-01-31T00:00:00"/>
  </r>
  <r>
    <s v="LN00288"/>
    <s v="CUST0098"/>
    <x v="1"/>
    <s v="South"/>
    <s v="RM_3"/>
    <s v="LAP"/>
    <n v="7856219"/>
    <x v="287"/>
    <n v="3067235"/>
    <n v="0.61"/>
    <n v="10.97"/>
    <n v="5"/>
    <x v="0"/>
    <n v="0"/>
    <x v="0"/>
    <n v="1"/>
    <n v="0"/>
    <x v="1"/>
    <s v="Pharma"/>
    <n v="24"/>
    <n v="232247665"/>
    <s v="B"/>
    <d v="2020-02-11T00:00:00"/>
    <d v="2020-02-18T00:00:00"/>
    <d v="2026-01-31T00:00:00"/>
  </r>
  <r>
    <s v="LN00289"/>
    <s v="CUST0041"/>
    <x v="3"/>
    <s v="West"/>
    <s v="RM_1"/>
    <s v="Term Loan"/>
    <n v="11148267"/>
    <x v="288"/>
    <n v="2449369"/>
    <n v="0.78"/>
    <n v="12.17"/>
    <n v="14"/>
    <x v="0"/>
    <n v="0"/>
    <x v="0"/>
    <n v="0"/>
    <n v="5"/>
    <x v="3"/>
    <s v="Textile"/>
    <n v="22"/>
    <n v="432304436"/>
    <s v="B"/>
    <d v="2023-07-13T00:00:00"/>
    <d v="2023-07-15T00:00:00"/>
    <d v="2026-01-31T00:00:00"/>
  </r>
  <r>
    <s v="LN00290"/>
    <s v="CUST0060"/>
    <x v="3"/>
    <s v="West"/>
    <s v="RM_9"/>
    <s v="CC"/>
    <n v="8190406"/>
    <x v="289"/>
    <n v="1343727"/>
    <n v="0.84"/>
    <n v="14.34"/>
    <n v="10"/>
    <x v="0"/>
    <n v="0"/>
    <x v="0"/>
    <n v="0"/>
    <n v="2"/>
    <x v="0"/>
    <s v="Auto Parts"/>
    <n v="22"/>
    <n v="92017004"/>
    <s v="B"/>
    <d v="2020-11-05T00:00:00"/>
    <d v="2020-11-14T00:00:00"/>
    <d v="2026-01-31T00:00:00"/>
  </r>
  <r>
    <s v="LN00291"/>
    <s v="CUST0123"/>
    <x v="1"/>
    <s v="South"/>
    <s v="RM_10"/>
    <s v="OD"/>
    <n v="9199585"/>
    <x v="290"/>
    <n v="3585338"/>
    <n v="0.61"/>
    <n v="12.05"/>
    <n v="17"/>
    <x v="0"/>
    <n v="0"/>
    <x v="0"/>
    <n v="1"/>
    <n v="3"/>
    <x v="2"/>
    <s v="Textile"/>
    <n v="4"/>
    <n v="29288777"/>
    <s v="A"/>
    <d v="2022-07-13T00:00:00"/>
    <d v="2022-07-15T00:00:00"/>
    <d v="2026-01-31T00:00:00"/>
  </r>
  <r>
    <s v="LN00292"/>
    <s v="CUST0071"/>
    <x v="0"/>
    <s v="West"/>
    <s v="RM_5"/>
    <s v="LAP"/>
    <n v="13092252"/>
    <x v="291"/>
    <n v="3544258"/>
    <n v="0.73"/>
    <n v="13.56"/>
    <n v="10"/>
    <x v="0"/>
    <n v="0"/>
    <x v="0"/>
    <n v="1"/>
    <n v="0"/>
    <x v="0"/>
    <s v="Pharma"/>
    <n v="23"/>
    <n v="321498576"/>
    <s v="B"/>
    <d v="2020-05-05T00:00:00"/>
    <d v="2020-05-13T00:00:00"/>
    <d v="2026-01-31T00:00:00"/>
  </r>
  <r>
    <s v="LN00293"/>
    <s v="CUST0013"/>
    <x v="2"/>
    <s v="West"/>
    <s v="RM_3"/>
    <s v="CC"/>
    <n v="6624571"/>
    <x v="292"/>
    <n v="2225810"/>
    <n v="0.66"/>
    <n v="12.42"/>
    <n v="5"/>
    <x v="0"/>
    <n v="0"/>
    <x v="0"/>
    <n v="1"/>
    <n v="3"/>
    <x v="2"/>
    <s v="Textile"/>
    <n v="17"/>
    <n v="225601483"/>
    <s v="B"/>
    <d v="2022-07-01T00:00:00"/>
    <d v="2022-07-08T00:00:00"/>
    <d v="2026-01-31T00:00:00"/>
  </r>
  <r>
    <s v="LN00294"/>
    <s v="CUST0166"/>
    <x v="3"/>
    <s v="West"/>
    <s v="RM_1"/>
    <s v="LAP"/>
    <n v="6661081"/>
    <x v="293"/>
    <n v="1238083"/>
    <n v="0.81"/>
    <n v="10.4"/>
    <n v="9"/>
    <x v="0"/>
    <n v="0"/>
    <x v="0"/>
    <n v="0"/>
    <n v="1"/>
    <x v="0"/>
    <s v="Auto Parts"/>
    <n v="1"/>
    <n v="42332679"/>
    <s v="D"/>
    <d v="2022-05-13T00:00:00"/>
    <d v="2022-05-16T00:00:00"/>
    <d v="2026-01-31T00:00:00"/>
  </r>
  <r>
    <s v="LN00295"/>
    <s v="CUST0130"/>
    <x v="2"/>
    <s v="South"/>
    <s v="RM_7"/>
    <s v="OD"/>
    <n v="13820020"/>
    <x v="294"/>
    <n v="1536480"/>
    <n v="0.89"/>
    <n v="11.04"/>
    <n v="27"/>
    <x v="0"/>
    <n v="0"/>
    <x v="0"/>
    <n v="0"/>
    <n v="3"/>
    <x v="2"/>
    <s v="Electronics"/>
    <n v="8"/>
    <n v="40309997"/>
    <s v="A"/>
    <d v="2022-02-15T00:00:00"/>
    <d v="2022-02-19T00:00:00"/>
    <d v="2026-01-31T00:00:00"/>
  </r>
  <r>
    <s v="LN00296"/>
    <s v="CUST0103"/>
    <x v="2"/>
    <s v="South"/>
    <s v="RM_2"/>
    <s v="OD"/>
    <n v="4653119"/>
    <x v="295"/>
    <n v="1607435"/>
    <n v="0.65"/>
    <n v="9.93"/>
    <n v="27"/>
    <x v="0"/>
    <n v="0"/>
    <x v="0"/>
    <n v="1"/>
    <n v="2"/>
    <x v="3"/>
    <s v="FMCG"/>
    <n v="20"/>
    <n v="488492703"/>
    <s v="D"/>
    <d v="2020-03-16T00:00:00"/>
    <d v="2020-03-24T00:00:00"/>
    <d v="2026-01-31T00:00:00"/>
  </r>
  <r>
    <s v="LN00297"/>
    <s v="CUST0095"/>
    <x v="1"/>
    <s v="North"/>
    <s v="RM_6"/>
    <s v="OD"/>
    <n v="10462057"/>
    <x v="296"/>
    <n v="3028274"/>
    <n v="0.71"/>
    <n v="9.24"/>
    <n v="37"/>
    <x v="1"/>
    <n v="0"/>
    <x v="1"/>
    <n v="0"/>
    <n v="0"/>
    <x v="2"/>
    <s v="FMCG"/>
    <n v="9"/>
    <n v="381816624"/>
    <s v="D"/>
    <d v="2020-02-08T00:00:00"/>
    <d v="2020-02-13T00:00:00"/>
    <d v="2026-01-31T00:00:00"/>
  </r>
  <r>
    <s v="LN00298"/>
    <s v="CUST0086"/>
    <x v="0"/>
    <s v="South"/>
    <s v="RM_5"/>
    <s v="LAP"/>
    <n v="4701919"/>
    <x v="297"/>
    <n v="1026365"/>
    <n v="0.78"/>
    <n v="10.06"/>
    <n v="48"/>
    <x v="1"/>
    <n v="0"/>
    <x v="1"/>
    <n v="0"/>
    <n v="4"/>
    <x v="3"/>
    <s v="Textile"/>
    <n v="23"/>
    <n v="102905017"/>
    <s v="D"/>
    <d v="2023-07-06T00:00:00"/>
    <d v="2023-07-12T00:00:00"/>
    <d v="2026-01-31T00:00:00"/>
  </r>
  <r>
    <s v="LN00299"/>
    <s v="CUST0165"/>
    <x v="2"/>
    <s v="East"/>
    <s v="RM_4"/>
    <s v="LAP"/>
    <n v="11461758"/>
    <x v="298"/>
    <n v="2486220"/>
    <n v="0.78"/>
    <n v="14.09"/>
    <n v="15"/>
    <x v="0"/>
    <n v="0"/>
    <x v="0"/>
    <n v="0"/>
    <n v="1"/>
    <x v="0"/>
    <s v="FMCG"/>
    <n v="15"/>
    <n v="70170602"/>
    <s v="A"/>
    <d v="2020-06-25T00:00:00"/>
    <d v="2020-06-30T00:00:00"/>
    <d v="2026-01-31T00:00:00"/>
  </r>
  <r>
    <s v="LN00300"/>
    <s v="CUST0020"/>
    <x v="1"/>
    <s v="South"/>
    <s v="RM_3"/>
    <s v="OD"/>
    <n v="3226284"/>
    <x v="299"/>
    <n v="671874"/>
    <n v="0.79"/>
    <n v="12.1"/>
    <n v="27"/>
    <x v="0"/>
    <n v="0"/>
    <x v="0"/>
    <n v="1"/>
    <n v="5"/>
    <x v="3"/>
    <s v="Pharma"/>
    <n v="6"/>
    <n v="439706351"/>
    <s v="D"/>
    <d v="2020-10-11T00:00:00"/>
    <d v="2020-10-12T00:00:00"/>
    <d v="2026-01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8" firstHeaderRow="1" firstDataRow="1" firstDataCol="1"/>
  <pivotFields count="25">
    <pivotField showAll="0"/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301">
        <item x="169"/>
        <item x="153"/>
        <item x="194"/>
        <item x="109"/>
        <item x="46"/>
        <item x="255"/>
        <item x="178"/>
        <item x="185"/>
        <item x="95"/>
        <item x="72"/>
        <item x="262"/>
        <item x="43"/>
        <item x="154"/>
        <item x="226"/>
        <item x="143"/>
        <item x="65"/>
        <item x="113"/>
        <item x="86"/>
        <item x="23"/>
        <item x="264"/>
        <item x="79"/>
        <item x="47"/>
        <item x="68"/>
        <item x="150"/>
        <item x="93"/>
        <item x="128"/>
        <item x="299"/>
        <item x="162"/>
        <item x="66"/>
        <item x="107"/>
        <item x="6"/>
        <item x="174"/>
        <item x="210"/>
        <item x="115"/>
        <item x="283"/>
        <item x="64"/>
        <item x="10"/>
        <item x="152"/>
        <item x="197"/>
        <item x="295"/>
        <item x="44"/>
        <item x="15"/>
        <item x="156"/>
        <item x="223"/>
        <item x="233"/>
        <item x="110"/>
        <item x="274"/>
        <item x="198"/>
        <item x="59"/>
        <item x="26"/>
        <item x="112"/>
        <item x="297"/>
        <item x="237"/>
        <item x="34"/>
        <item x="212"/>
        <item x="281"/>
        <item x="214"/>
        <item x="193"/>
        <item x="187"/>
        <item x="92"/>
        <item x="182"/>
        <item x="134"/>
        <item x="102"/>
        <item x="203"/>
        <item x="209"/>
        <item x="180"/>
        <item x="21"/>
        <item x="272"/>
        <item x="137"/>
        <item x="51"/>
        <item x="227"/>
        <item x="97"/>
        <item x="1"/>
        <item x="55"/>
        <item x="147"/>
        <item x="248"/>
        <item x="17"/>
        <item x="292"/>
        <item x="88"/>
        <item x="85"/>
        <item x="94"/>
        <item x="74"/>
        <item x="151"/>
        <item x="189"/>
        <item x="171"/>
        <item x="160"/>
        <item x="5"/>
        <item x="61"/>
        <item x="7"/>
        <item x="269"/>
        <item x="172"/>
        <item x="148"/>
        <item x="158"/>
        <item x="287"/>
        <item x="144"/>
        <item x="42"/>
        <item x="278"/>
        <item x="279"/>
        <item x="125"/>
        <item x="127"/>
        <item x="53"/>
        <item x="81"/>
        <item x="170"/>
        <item x="145"/>
        <item x="293"/>
        <item x="275"/>
        <item x="229"/>
        <item x="11"/>
        <item x="133"/>
        <item x="266"/>
        <item x="201"/>
        <item x="196"/>
        <item x="33"/>
        <item x="290"/>
        <item x="3"/>
        <item x="163"/>
        <item x="77"/>
        <item x="62"/>
        <item x="20"/>
        <item x="208"/>
        <item x="195"/>
        <item x="58"/>
        <item x="280"/>
        <item x="231"/>
        <item x="234"/>
        <item x="56"/>
        <item x="36"/>
        <item x="4"/>
        <item x="216"/>
        <item x="247"/>
        <item x="29"/>
        <item x="239"/>
        <item x="219"/>
        <item x="131"/>
        <item x="149"/>
        <item x="200"/>
        <item x="41"/>
        <item x="120"/>
        <item x="130"/>
        <item x="232"/>
        <item x="183"/>
        <item x="119"/>
        <item x="45"/>
        <item x="132"/>
        <item x="9"/>
        <item x="268"/>
        <item x="191"/>
        <item x="289"/>
        <item x="52"/>
        <item x="71"/>
        <item x="157"/>
        <item x="184"/>
        <item x="122"/>
        <item x="24"/>
        <item x="284"/>
        <item x="244"/>
        <item x="18"/>
        <item x="104"/>
        <item x="165"/>
        <item x="118"/>
        <item x="220"/>
        <item x="108"/>
        <item x="40"/>
        <item x="296"/>
        <item x="286"/>
        <item x="271"/>
        <item x="249"/>
        <item x="30"/>
        <item x="261"/>
        <item x="83"/>
        <item x="259"/>
        <item x="27"/>
        <item x="96"/>
        <item x="87"/>
        <item x="2"/>
        <item x="67"/>
        <item x="69"/>
        <item x="105"/>
        <item x="222"/>
        <item x="217"/>
        <item x="224"/>
        <item x="161"/>
        <item x="260"/>
        <item x="285"/>
        <item x="0"/>
        <item x="140"/>
        <item x="57"/>
        <item x="22"/>
        <item x="138"/>
        <item x="190"/>
        <item x="251"/>
        <item x="31"/>
        <item x="273"/>
        <item x="267"/>
        <item x="49"/>
        <item x="99"/>
        <item x="12"/>
        <item x="288"/>
        <item x="241"/>
        <item x="136"/>
        <item x="243"/>
        <item x="28"/>
        <item x="75"/>
        <item x="124"/>
        <item x="121"/>
        <item x="225"/>
        <item x="252"/>
        <item x="80"/>
        <item x="179"/>
        <item x="60"/>
        <item x="298"/>
        <item x="276"/>
        <item x="32"/>
        <item x="135"/>
        <item x="258"/>
        <item x="37"/>
        <item x="245"/>
        <item x="207"/>
        <item x="176"/>
        <item x="254"/>
        <item x="166"/>
        <item x="175"/>
        <item x="19"/>
        <item x="221"/>
        <item x="213"/>
        <item x="35"/>
        <item x="235"/>
        <item x="123"/>
        <item x="141"/>
        <item x="16"/>
        <item x="246"/>
        <item x="242"/>
        <item x="263"/>
        <item x="202"/>
        <item x="199"/>
        <item x="8"/>
        <item x="155"/>
        <item x="100"/>
        <item x="173"/>
        <item x="181"/>
        <item x="291"/>
        <item x="186"/>
        <item x="78"/>
        <item x="38"/>
        <item x="230"/>
        <item x="256"/>
        <item x="13"/>
        <item x="238"/>
        <item x="270"/>
        <item x="116"/>
        <item x="101"/>
        <item x="159"/>
        <item x="84"/>
        <item x="14"/>
        <item x="54"/>
        <item x="168"/>
        <item x="142"/>
        <item x="188"/>
        <item x="103"/>
        <item x="211"/>
        <item x="240"/>
        <item x="76"/>
        <item x="164"/>
        <item x="236"/>
        <item x="139"/>
        <item x="117"/>
        <item x="106"/>
        <item x="218"/>
        <item x="206"/>
        <item x="114"/>
        <item x="167"/>
        <item x="146"/>
        <item x="111"/>
        <item x="82"/>
        <item x="282"/>
        <item x="277"/>
        <item x="129"/>
        <item x="204"/>
        <item x="63"/>
        <item x="39"/>
        <item x="48"/>
        <item x="91"/>
        <item x="25"/>
        <item x="265"/>
        <item x="205"/>
        <item x="228"/>
        <item x="70"/>
        <item x="253"/>
        <item x="215"/>
        <item x="177"/>
        <item x="50"/>
        <item x="294"/>
        <item x="90"/>
        <item x="98"/>
        <item x="192"/>
        <item x="257"/>
        <item x="89"/>
        <item x="126"/>
        <item x="250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2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Outstanding_Amount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13:J19" firstHeaderRow="1" firstDataRow="2" firstDataCol="1"/>
  <pivotFields count="25"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Outstanding_Amount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E3:F8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7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Outstanding_Amount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B1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utstanding_Amount" fld="7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C8:AE25" firstHeaderRow="1" firstDataRow="1" firstDataCol="0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 rowHeaderCaption="Sector">
  <location ref="A47:B5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7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Percentage of Total" fld="7" showDataAs="percentOfTotal" baseField="0" baseItem="0" numFmtId="10"/>
  </dataFields>
  <formats count="2">
    <format dxfId="38">
      <pivotArea type="all" dataOnly="0" outline="0" fieldPosition="0"/>
    </format>
    <format dxfId="39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Risk Category">
  <location ref="A62:B6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centage of total" fld="7" showDataAs="percentOfTotal" baseField="14" baseItem="0" numFmtId="10"/>
  </dataFields>
  <formats count="1">
    <format dxfId="17">
      <pivotArea type="all" dataOnly="0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Risk Category">
  <location ref="A62:B6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ercentage of total" fld="7" showDataAs="percentOfTotal" baseField="1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 rowHeaderCaption="Sector">
  <location ref="A47:B52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numFmtId="14" showAll="0"/>
    <pivotField numFmtId="14" showAll="0"/>
  </pivotFields>
  <rowFields count="1">
    <field x="17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Percentage of Total" fld="7" showDataAs="percentOfTotal" baseField="0" baseItem="0" numFmtId="10"/>
  </dataFields>
  <formats count="2">
    <format dxfId="58">
      <pivotArea type="all" dataOnly="0" outline="0" fieldPosition="0"/>
    </format>
    <format dxfId="57">
      <pivotArea type="all" dataOnly="0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Z301" totalsRowShown="0">
  <autoFilter ref="A1:Z301"/>
  <tableColumns count="26">
    <tableColumn id="1" name="Loan_ID"/>
    <tableColumn id="2" name="Customer_ID"/>
    <tableColumn id="3" name="Branch"/>
    <tableColumn id="4" name="Region"/>
    <tableColumn id="5" name="Relationship_Manager"/>
    <tableColumn id="6" name="Product_Type"/>
    <tableColumn id="7" name="Sanction_Amount"/>
    <tableColumn id="8" name="Outstanding_Amount"/>
    <tableColumn id="9" name="Undrawn_Limit"/>
    <tableColumn id="10" name="Limit_Utilization_%"/>
    <tableColumn id="11" name="Interest_Rate"/>
    <tableColumn id="12" name="Days_Past_Due"/>
    <tableColumn id="13" name="SMA_Category"/>
    <tableColumn id="14" name="NPA_Flag"/>
    <tableColumn id="15" name="Risk_Category"/>
    <tableColumn id="16" name="Restructured_Flag"/>
    <tableColumn id="17" name="Bounce_Count_Last_6M"/>
    <tableColumn id="18" name="Sector"/>
    <tableColumn id="19" name="Industry_Subtype"/>
    <tableColumn id="20" name="Years_in_Business"/>
    <tableColumn id="21" name="Annual_Turnover"/>
    <tableColumn id="22" name="Internal_Credit_Rating"/>
    <tableColumn id="23" name="Sanction_Date" dataDxfId="62"/>
    <tableColumn id="24" name="Disbursement_Date" dataDxfId="61"/>
    <tableColumn id="27" name="NPA_Amount" dataDxfId="60">
      <calculatedColumnFormula>IF(Table1[[#This Row],[NPA_Flag]]=1, Table1[[#This Row],[Outstanding_Amount]], 0)</calculatedColumnFormula>
    </tableColumn>
    <tableColumn id="25" name="Reporting_Month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Table8" displayName="Table8" ref="A1:Y74" totalsRowShown="0">
  <autoFilter ref="A1:Y74"/>
  <tableColumns count="25">
    <tableColumn id="1" name="Loan_ID"/>
    <tableColumn id="2" name="Customer_ID"/>
    <tableColumn id="3" name="Branch"/>
    <tableColumn id="4" name="Region"/>
    <tableColumn id="5" name="Relationship_Manager"/>
    <tableColumn id="6" name="Product_Type"/>
    <tableColumn id="7" name="Sanction_Amount"/>
    <tableColumn id="8" name="Outstanding_Amount"/>
    <tableColumn id="9" name="Undrawn_Limit"/>
    <tableColumn id="10" name="Limit_Utilization_%"/>
    <tableColumn id="11" name="Interest_Rate"/>
    <tableColumn id="12" name="Days_Past_Due"/>
    <tableColumn id="13" name="SMA_Category"/>
    <tableColumn id="14" name="NPA_Flag"/>
    <tableColumn id="15" name="Risk_Category"/>
    <tableColumn id="16" name="Restructured_Flag"/>
    <tableColumn id="17" name="Bounce_Count_Last_6M"/>
    <tableColumn id="18" name="Sector"/>
    <tableColumn id="19" name="Industry_Subtype"/>
    <tableColumn id="20" name="Years_in_Business"/>
    <tableColumn id="21" name="Annual_Turnover"/>
    <tableColumn id="22" name="Internal_Credit_Rating"/>
    <tableColumn id="23" name="Sanction_Date" dataDxfId="20"/>
    <tableColumn id="24" name="Disbursement_Date" dataDxfId="19"/>
    <tableColumn id="25" name="Reporting_Month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26" displayName="Table26" ref="A1:B5" totalsRowShown="0" headerRowDxfId="37" headerRowBorderDxfId="35" tableBorderDxfId="36" totalsRowBorderDxfId="34">
  <autoFilter ref="A1:B5"/>
  <tableColumns count="2">
    <tableColumn id="1" name="KPI " dataDxfId="33"/>
    <tableColumn id="2" name="Value" dataDxfId="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37" displayName="Table37" ref="A10:C14" totalsRowShown="0" headerRowBorderDxfId="30" tableBorderDxfId="31" totalsRowBorderDxfId="29">
  <autoFilter ref="A10:C14"/>
  <tableColumns count="3">
    <tableColumn id="1" name="Branch" dataDxfId="28"/>
    <tableColumn id="2" name="Exposure" dataDxfId="27">
      <calculatedColumnFormula>SUMIFS(Table1[Outstanding_Amount],Table1[Branch],A11)</calculatedColumnFormula>
    </tableColumn>
    <tableColumn id="3" name="NPA%" dataDxfId="26">
      <calculatedColumnFormula>SUMIFS(Table1[Outstanding_Amount],Table1[Branch],A11,Table1[NPA_Flag],1)/SUMIFS(Table1[Outstanding_Amount],Table1[Branch],A11)*100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358" displayName="Table358" ref="A28:B32" totalsRowShown="0" headerRowBorderDxfId="24" tableBorderDxfId="25" totalsRowBorderDxfId="23">
  <autoFilter ref="A28:B32"/>
  <sortState ref="A29:B32">
    <sortCondition descending="1" ref="B28:B32"/>
  </sortState>
  <tableColumns count="2">
    <tableColumn id="1" name="Branch" dataDxfId="22"/>
    <tableColumn id="3" name="NPA%" dataDxfId="21">
      <calculatedColumnFormula>SUMIFS(Table1[Outstanding_Amount],Table1[Branch],A29,Table1[NPA_Flag],1)/SUMIFS(Table1[Outstanding_Amount],Table1[Branch],A29)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05:E115" totalsRowShown="0" headerRowDxfId="8" headerRowBorderDxfId="15" tableBorderDxfId="16" totalsRowBorderDxfId="14">
  <autoFilter ref="A105:E115"/>
  <sortState ref="A106:E115">
    <sortCondition descending="1" ref="E105:E115"/>
  </sortState>
  <tableColumns count="5">
    <tableColumn id="1" name="Rank" dataDxfId="13"/>
    <tableColumn id="2" name="Customer ID" dataDxfId="12">
      <calculatedColumnFormula>INDEX(Table1[Customer_ID], MATCH(E106, Table1[Outstanding_Amount], 0))</calculatedColumnFormula>
    </tableColumn>
    <tableColumn id="3" name="Branch" dataDxfId="11">
      <calculatedColumnFormula>INDEX(Table1[Branch], MATCH(E106, Table1[Outstanding_Amount], 0))</calculatedColumnFormula>
    </tableColumn>
    <tableColumn id="4" name="Sector" dataDxfId="10">
      <calculatedColumnFormula>INDEX(Table1[Sector], MATCH(E106, Table1[Outstanding_Amount], 0))</calculatedColumnFormula>
    </tableColumn>
    <tableColumn id="5" name="Outstanding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" name="Table2" displayName="Table2" ref="A1:B5" totalsRowShown="0" headerRowDxfId="56" headerRowBorderDxfId="55" tableBorderDxfId="54" totalsRowBorderDxfId="53">
  <autoFilter ref="A1:B5"/>
  <tableColumns count="2">
    <tableColumn id="1" name="KPI " dataDxfId="52"/>
    <tableColumn id="2" name="Value" dataDxfId="5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" name="Table3" displayName="Table3" ref="A8:C12" totalsRowShown="0" headerRowBorderDxfId="50" tableBorderDxfId="49" totalsRowBorderDxfId="48">
  <autoFilter ref="A8:C12"/>
  <tableColumns count="3">
    <tableColumn id="1" name="Branch" dataDxfId="47"/>
    <tableColumn id="2" name="Exposure" dataDxfId="46">
      <calculatedColumnFormula>SUMIFS(Table1[Outstanding_Amount],Table1[Branch],A9)</calculatedColumnFormula>
    </tableColumn>
    <tableColumn id="3" name="NPA%" dataDxfId="45">
      <calculatedColumnFormula>SUMIFS(Table1[Outstanding_Amount],Table1[Branch],A9,Table1[NPA_Flag],1)/SUMIFS(Table1[Outstanding_Amount],Table1[Branch],A9)*100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4" name="Table35" displayName="Table35" ref="A28:B32" totalsRowShown="0" headerRowBorderDxfId="44" tableBorderDxfId="43" totalsRowBorderDxfId="42">
  <autoFilter ref="A28:B32"/>
  <sortState ref="A29:B32">
    <sortCondition descending="1" ref="B28:B32"/>
  </sortState>
  <tableColumns count="2">
    <tableColumn id="1" name="Branch" dataDxfId="41"/>
    <tableColumn id="3" name="NPA%" dataDxfId="40">
      <calculatedColumnFormula>SUMIFS(Table1[Outstanding_Amount],Table1[Branch],A29,Table1[NPA_Flag],1)/SUMIFS(Table1[Outstanding_Amount],Table1[Branch],A29)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911" displayName="Table911" ref="A1:D11" totalsRowShown="0" headerRowDxfId="7" headerRowBorderDxfId="5" tableBorderDxfId="6" totalsRowBorderDxfId="4">
  <autoFilter ref="A1:D11"/>
  <sortState ref="A2:E11">
    <sortCondition descending="1" ref="D2:D11"/>
  </sortState>
  <tableColumns count="4">
    <tableColumn id="2" name="Customer ID" dataDxfId="3">
      <calculatedColumnFormula>INDEX(Table1[Customer_ID], MATCH(D2, Table1[Outstanding_Amount], 0))</calculatedColumnFormula>
    </tableColumn>
    <tableColumn id="3" name="Branch" dataDxfId="2">
      <calculatedColumnFormula>INDEX(Table1[Branch], MATCH(D2, Table1[Outstanding_Amount], 0))</calculatedColumnFormula>
    </tableColumn>
    <tableColumn id="4" name="Sector" dataDxfId="1">
      <calculatedColumnFormula>INDEX(Table1[Sector], MATCH(D2, Table1[Outstanding_Amount], 0))</calculatedColumnFormula>
    </tableColumn>
    <tableColumn id="5" name="Outstand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printerSettings" Target="../printerSettings/printerSettings2.bin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table" Target="../tables/table9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9"/>
  <sheetViews>
    <sheetView tabSelected="1" workbookViewId="0">
      <selection activeCell="A13" sqref="A13:B17"/>
    </sheetView>
  </sheetViews>
  <sheetFormatPr defaultRowHeight="15" x14ac:dyDescent="0.25"/>
  <cols>
    <col min="1" max="1" width="16.140625" customWidth="1"/>
    <col min="2" max="2" width="27.140625" bestFit="1" customWidth="1"/>
    <col min="5" max="5" width="14" customWidth="1"/>
    <col min="6" max="6" width="27.140625" customWidth="1"/>
    <col min="7" max="7" width="11.85546875" bestFit="1" customWidth="1"/>
    <col min="8" max="8" width="12.140625" bestFit="1" customWidth="1"/>
    <col min="9" max="9" width="16" bestFit="1" customWidth="1"/>
    <col min="10" max="10" width="11.28515625" bestFit="1" customWidth="1"/>
  </cols>
  <sheetData>
    <row r="3" spans="1:10" x14ac:dyDescent="0.25">
      <c r="A3" s="2" t="s">
        <v>527</v>
      </c>
      <c r="B3" t="s">
        <v>529</v>
      </c>
      <c r="E3" s="2" t="s">
        <v>527</v>
      </c>
      <c r="F3" t="s">
        <v>529</v>
      </c>
    </row>
    <row r="4" spans="1:10" x14ac:dyDescent="0.25">
      <c r="A4" s="3" t="s">
        <v>78</v>
      </c>
      <c r="B4" s="4">
        <v>0.28442937490567399</v>
      </c>
      <c r="E4" s="3" t="s">
        <v>91</v>
      </c>
      <c r="F4" s="4">
        <v>0.22550208834718705</v>
      </c>
    </row>
    <row r="5" spans="1:10" x14ac:dyDescent="0.25">
      <c r="A5" s="3" t="s">
        <v>27</v>
      </c>
      <c r="B5" s="4">
        <v>0.27591952265131059</v>
      </c>
      <c r="E5" s="3" t="s">
        <v>47</v>
      </c>
      <c r="F5" s="4">
        <v>0.2374558200312131</v>
      </c>
    </row>
    <row r="6" spans="1:10" x14ac:dyDescent="0.25">
      <c r="A6" s="3" t="s">
        <v>38</v>
      </c>
      <c r="B6" s="4">
        <v>0.25970733420473247</v>
      </c>
      <c r="E6" s="3" t="s">
        <v>33</v>
      </c>
      <c r="F6" s="4">
        <v>0.26358940317790636</v>
      </c>
    </row>
    <row r="7" spans="1:10" x14ac:dyDescent="0.25">
      <c r="A7" s="3" t="s">
        <v>44</v>
      </c>
      <c r="B7" s="4">
        <v>0.17994376823828301</v>
      </c>
      <c r="E7" s="3" t="s">
        <v>41</v>
      </c>
      <c r="F7" s="4">
        <v>0.27345268844369353</v>
      </c>
    </row>
    <row r="8" spans="1:10" x14ac:dyDescent="0.25">
      <c r="A8" s="3" t="s">
        <v>528</v>
      </c>
      <c r="B8" s="4">
        <v>1</v>
      </c>
      <c r="E8" s="3" t="s">
        <v>528</v>
      </c>
      <c r="F8" s="4">
        <v>1</v>
      </c>
    </row>
    <row r="13" spans="1:10" x14ac:dyDescent="0.25">
      <c r="A13" s="2" t="s">
        <v>527</v>
      </c>
      <c r="B13" t="s">
        <v>529</v>
      </c>
      <c r="E13" s="2" t="s">
        <v>529</v>
      </c>
      <c r="F13" s="2" t="s">
        <v>530</v>
      </c>
    </row>
    <row r="14" spans="1:10" x14ac:dyDescent="0.25">
      <c r="A14" s="3" t="s">
        <v>70</v>
      </c>
      <c r="B14" s="4">
        <v>6.635974015881145E-2</v>
      </c>
      <c r="E14" s="2" t="s">
        <v>527</v>
      </c>
      <c r="F14" t="s">
        <v>44</v>
      </c>
      <c r="G14" t="s">
        <v>78</v>
      </c>
      <c r="H14" t="s">
        <v>38</v>
      </c>
      <c r="I14" t="s">
        <v>27</v>
      </c>
      <c r="J14" t="s">
        <v>528</v>
      </c>
    </row>
    <row r="15" spans="1:10" x14ac:dyDescent="0.25">
      <c r="A15" s="3" t="s">
        <v>32</v>
      </c>
      <c r="B15" s="4">
        <v>0.85293637016941082</v>
      </c>
      <c r="E15" s="3" t="s">
        <v>69</v>
      </c>
      <c r="F15" s="4">
        <v>0</v>
      </c>
      <c r="G15" s="4">
        <v>0</v>
      </c>
      <c r="H15" s="4">
        <v>2.2728256849323537E-2</v>
      </c>
      <c r="I15" s="4">
        <v>7.5510393157883181E-3</v>
      </c>
      <c r="J15" s="4">
        <v>3.0279296165111855E-2</v>
      </c>
    </row>
    <row r="16" spans="1:10" x14ac:dyDescent="0.25">
      <c r="A16" s="3" t="s">
        <v>56</v>
      </c>
      <c r="B16" s="4">
        <v>8.070388967177769E-2</v>
      </c>
      <c r="E16" s="3" t="s">
        <v>31</v>
      </c>
      <c r="F16" s="4">
        <v>0.16278437419566841</v>
      </c>
      <c r="G16" s="4">
        <v>0.25782200691446999</v>
      </c>
      <c r="H16" s="4">
        <v>0.19228588726624296</v>
      </c>
      <c r="I16" s="4">
        <v>0.24004410179302949</v>
      </c>
      <c r="J16" s="4">
        <v>0.85293637016941082</v>
      </c>
    </row>
    <row r="17" spans="1:10" x14ac:dyDescent="0.25">
      <c r="A17" s="3" t="s">
        <v>528</v>
      </c>
      <c r="B17" s="4">
        <v>1</v>
      </c>
      <c r="E17" s="3" t="s">
        <v>55</v>
      </c>
      <c r="F17" s="4">
        <v>1.7159394042614587E-2</v>
      </c>
      <c r="G17" s="4">
        <v>2.2935153294054923E-2</v>
      </c>
      <c r="H17" s="4">
        <v>2.8253337838196203E-2</v>
      </c>
      <c r="I17" s="4">
        <v>1.2356004496911972E-2</v>
      </c>
      <c r="J17" s="4">
        <v>8.070388967177769E-2</v>
      </c>
    </row>
    <row r="18" spans="1:10" x14ac:dyDescent="0.25">
      <c r="E18" s="3" t="s">
        <v>90</v>
      </c>
      <c r="F18" s="4">
        <v>0</v>
      </c>
      <c r="G18" s="4">
        <v>3.6722146971490551E-3</v>
      </c>
      <c r="H18" s="4">
        <v>1.6439852250969732E-2</v>
      </c>
      <c r="I18" s="4">
        <v>1.5968377045580805E-2</v>
      </c>
      <c r="J18" s="4">
        <v>3.6080443993699592E-2</v>
      </c>
    </row>
    <row r="19" spans="1:10" x14ac:dyDescent="0.25">
      <c r="E19" s="3" t="s">
        <v>528</v>
      </c>
      <c r="F19" s="4">
        <v>0.17994376823828301</v>
      </c>
      <c r="G19" s="4">
        <v>0.28442937490567399</v>
      </c>
      <c r="H19" s="4">
        <v>0.25970733420473247</v>
      </c>
      <c r="I19" s="4">
        <v>0.27591952265131059</v>
      </c>
      <c r="J1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1"/>
  <sheetViews>
    <sheetView workbookViewId="0">
      <selection activeCell="B23" sqref="B23"/>
    </sheetView>
  </sheetViews>
  <sheetFormatPr defaultRowHeight="15" x14ac:dyDescent="0.25"/>
  <cols>
    <col min="1" max="1" width="10.140625" customWidth="1"/>
    <col min="2" max="2" width="14.5703125" customWidth="1"/>
    <col min="4" max="4" width="9.28515625" customWidth="1"/>
    <col min="5" max="5" width="23.140625" customWidth="1"/>
    <col min="6" max="6" width="15.28515625" customWidth="1"/>
    <col min="7" max="7" width="18.85546875" customWidth="1"/>
    <col min="8" max="8" width="22.140625" customWidth="1"/>
    <col min="9" max="9" width="16.7109375" customWidth="1"/>
    <col min="10" max="10" width="20.42578125" customWidth="1"/>
    <col min="11" max="11" width="15.140625" customWidth="1"/>
    <col min="12" max="12" width="16.5703125" customWidth="1"/>
    <col min="13" max="13" width="16.140625" customWidth="1"/>
    <col min="14" max="14" width="11.5703125" customWidth="1"/>
    <col min="15" max="15" width="15.5703125" customWidth="1"/>
    <col min="16" max="16" width="19.140625" customWidth="1"/>
    <col min="17" max="17" width="24.28515625" customWidth="1"/>
    <col min="19" max="19" width="18.7109375" customWidth="1"/>
    <col min="20" max="20" width="19.42578125" customWidth="1"/>
    <col min="21" max="21" width="18.42578125" customWidth="1"/>
    <col min="22" max="22" width="23.140625" customWidth="1"/>
    <col min="23" max="23" width="15.85546875" customWidth="1"/>
    <col min="24" max="24" width="20.7109375" customWidth="1"/>
    <col min="25" max="25" width="18.85546875" customWidth="1"/>
    <col min="26" max="26" width="13.57031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532</v>
      </c>
      <c r="Z1" t="s">
        <v>24</v>
      </c>
    </row>
    <row r="2" spans="1:31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11030239</v>
      </c>
      <c r="H2">
        <v>8242631</v>
      </c>
      <c r="I2">
        <v>2787608</v>
      </c>
      <c r="J2">
        <v>0.75</v>
      </c>
      <c r="K2">
        <v>11.82</v>
      </c>
      <c r="L2">
        <v>14</v>
      </c>
      <c r="M2" t="s">
        <v>31</v>
      </c>
      <c r="N2">
        <v>0</v>
      </c>
      <c r="O2" t="s">
        <v>32</v>
      </c>
      <c r="P2">
        <v>1</v>
      </c>
      <c r="Q2">
        <v>5</v>
      </c>
      <c r="R2" t="s">
        <v>33</v>
      </c>
      <c r="S2" t="s">
        <v>34</v>
      </c>
      <c r="T2">
        <v>2</v>
      </c>
      <c r="U2">
        <v>281379958</v>
      </c>
      <c r="V2" t="s">
        <v>35</v>
      </c>
      <c r="W2" s="1">
        <v>44985</v>
      </c>
      <c r="X2" s="1">
        <v>44991</v>
      </c>
      <c r="Y2" s="5">
        <f>IF(Table1[[#This Row],[NPA_Flag]]=1, Table1[[#This Row],[Outstanding_Amount]], 0)</f>
        <v>0</v>
      </c>
      <c r="Z2" s="1">
        <v>46053</v>
      </c>
    </row>
    <row r="3" spans="1:3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30</v>
      </c>
      <c r="G3">
        <v>5326528</v>
      </c>
      <c r="H3">
        <v>4285675</v>
      </c>
      <c r="I3">
        <v>1040853</v>
      </c>
      <c r="J3">
        <v>0.8</v>
      </c>
      <c r="K3">
        <v>13.9</v>
      </c>
      <c r="L3">
        <v>30</v>
      </c>
      <c r="M3" t="s">
        <v>31</v>
      </c>
      <c r="N3">
        <v>0</v>
      </c>
      <c r="O3" t="s">
        <v>32</v>
      </c>
      <c r="P3">
        <v>1</v>
      </c>
      <c r="Q3">
        <v>4</v>
      </c>
      <c r="R3" t="s">
        <v>41</v>
      </c>
      <c r="S3" t="s">
        <v>34</v>
      </c>
      <c r="T3">
        <v>2</v>
      </c>
      <c r="U3">
        <v>141604517</v>
      </c>
      <c r="V3" t="s">
        <v>35</v>
      </c>
      <c r="W3" s="1">
        <v>43885</v>
      </c>
      <c r="X3" s="1">
        <v>43892</v>
      </c>
      <c r="Y3" s="5">
        <f>IF(Table1[[#This Row],[NPA_Flag]]=1, Table1[[#This Row],[Outstanding_Amount]], 0)</f>
        <v>0</v>
      </c>
      <c r="Z3" s="1">
        <v>46053</v>
      </c>
    </row>
    <row r="4" spans="1:31" x14ac:dyDescent="0.25">
      <c r="A4" t="s">
        <v>42</v>
      </c>
      <c r="B4" t="s">
        <v>43</v>
      </c>
      <c r="C4" t="s">
        <v>44</v>
      </c>
      <c r="D4" t="s">
        <v>28</v>
      </c>
      <c r="E4" t="s">
        <v>45</v>
      </c>
      <c r="F4" t="s">
        <v>46</v>
      </c>
      <c r="G4">
        <v>8849837</v>
      </c>
      <c r="H4">
        <v>7862541</v>
      </c>
      <c r="I4">
        <v>987296</v>
      </c>
      <c r="J4">
        <v>0.89</v>
      </c>
      <c r="K4">
        <v>10.91</v>
      </c>
      <c r="L4">
        <v>25</v>
      </c>
      <c r="M4" t="s">
        <v>31</v>
      </c>
      <c r="N4">
        <v>0</v>
      </c>
      <c r="O4" t="s">
        <v>32</v>
      </c>
      <c r="P4">
        <v>1</v>
      </c>
      <c r="Q4">
        <v>2</v>
      </c>
      <c r="R4" t="s">
        <v>47</v>
      </c>
      <c r="S4" t="s">
        <v>48</v>
      </c>
      <c r="T4">
        <v>16</v>
      </c>
      <c r="U4">
        <v>137169334</v>
      </c>
      <c r="V4" t="s">
        <v>49</v>
      </c>
      <c r="W4" s="1">
        <v>44804</v>
      </c>
      <c r="X4" s="1">
        <v>44814</v>
      </c>
      <c r="Y4" s="5">
        <f>IF(Table1[[#This Row],[NPA_Flag]]=1, Table1[[#This Row],[Outstanding_Amount]], 0)</f>
        <v>0</v>
      </c>
      <c r="Z4" s="1">
        <v>46053</v>
      </c>
    </row>
    <row r="5" spans="1:31" x14ac:dyDescent="0.25">
      <c r="A5" t="s">
        <v>50</v>
      </c>
      <c r="B5" t="s">
        <v>51</v>
      </c>
      <c r="C5" t="s">
        <v>44</v>
      </c>
      <c r="D5" t="s">
        <v>52</v>
      </c>
      <c r="E5" t="s">
        <v>53</v>
      </c>
      <c r="F5" t="s">
        <v>54</v>
      </c>
      <c r="G5">
        <v>8582608</v>
      </c>
      <c r="H5">
        <v>5628480</v>
      </c>
      <c r="I5">
        <v>2954128</v>
      </c>
      <c r="J5">
        <v>0.66</v>
      </c>
      <c r="K5">
        <v>12.18</v>
      </c>
      <c r="L5">
        <v>56</v>
      </c>
      <c r="M5" t="s">
        <v>55</v>
      </c>
      <c r="N5">
        <v>0</v>
      </c>
      <c r="O5" t="s">
        <v>56</v>
      </c>
      <c r="P5">
        <v>1</v>
      </c>
      <c r="Q5">
        <v>1</v>
      </c>
      <c r="R5" t="s">
        <v>47</v>
      </c>
      <c r="S5" t="s">
        <v>57</v>
      </c>
      <c r="T5">
        <v>11</v>
      </c>
      <c r="U5">
        <v>399482094</v>
      </c>
      <c r="V5" t="s">
        <v>58</v>
      </c>
      <c r="W5" s="1">
        <v>44679</v>
      </c>
      <c r="X5" s="1">
        <v>44685</v>
      </c>
      <c r="Y5" s="5">
        <f>IF(Table1[[#This Row],[NPA_Flag]]=1, Table1[[#This Row],[Outstanding_Amount]], 0)</f>
        <v>0</v>
      </c>
      <c r="Z5" s="1">
        <v>46053</v>
      </c>
    </row>
    <row r="6" spans="1:31" x14ac:dyDescent="0.25">
      <c r="A6" t="s">
        <v>59</v>
      </c>
      <c r="B6" t="s">
        <v>60</v>
      </c>
      <c r="C6" t="s">
        <v>44</v>
      </c>
      <c r="D6" t="s">
        <v>61</v>
      </c>
      <c r="E6" t="s">
        <v>29</v>
      </c>
      <c r="F6" t="s">
        <v>46</v>
      </c>
      <c r="G6">
        <v>8883596</v>
      </c>
      <c r="H6">
        <v>5906571</v>
      </c>
      <c r="I6">
        <v>2977025</v>
      </c>
      <c r="J6">
        <v>0.66</v>
      </c>
      <c r="K6">
        <v>12.34</v>
      </c>
      <c r="L6">
        <v>2</v>
      </c>
      <c r="M6" t="s">
        <v>31</v>
      </c>
      <c r="N6">
        <v>0</v>
      </c>
      <c r="O6" t="s">
        <v>32</v>
      </c>
      <c r="P6">
        <v>0</v>
      </c>
      <c r="Q6">
        <v>4</v>
      </c>
      <c r="R6" t="s">
        <v>47</v>
      </c>
      <c r="S6" t="s">
        <v>57</v>
      </c>
      <c r="T6">
        <v>18</v>
      </c>
      <c r="U6">
        <v>93885263</v>
      </c>
      <c r="V6" t="s">
        <v>58</v>
      </c>
      <c r="W6" s="1">
        <v>43954</v>
      </c>
      <c r="X6" s="1">
        <v>43957</v>
      </c>
      <c r="Y6" s="5">
        <f>IF(Table1[[#This Row],[NPA_Flag]]=1, Table1[[#This Row],[Outstanding_Amount]], 0)</f>
        <v>0</v>
      </c>
      <c r="Z6" s="1">
        <v>46053</v>
      </c>
    </row>
    <row r="7" spans="1:31" x14ac:dyDescent="0.25">
      <c r="A7" t="s">
        <v>62</v>
      </c>
      <c r="B7" t="s">
        <v>63</v>
      </c>
      <c r="C7" t="s">
        <v>44</v>
      </c>
      <c r="D7" t="s">
        <v>39</v>
      </c>
      <c r="E7" t="s">
        <v>53</v>
      </c>
      <c r="F7" t="s">
        <v>54</v>
      </c>
      <c r="G7">
        <v>5556574</v>
      </c>
      <c r="H7">
        <v>4604634</v>
      </c>
      <c r="I7">
        <v>951940</v>
      </c>
      <c r="J7">
        <v>0.83</v>
      </c>
      <c r="K7">
        <v>11.81</v>
      </c>
      <c r="L7">
        <v>26</v>
      </c>
      <c r="M7" t="s">
        <v>31</v>
      </c>
      <c r="N7">
        <v>0</v>
      </c>
      <c r="O7" t="s">
        <v>32</v>
      </c>
      <c r="P7">
        <v>1</v>
      </c>
      <c r="Q7">
        <v>5</v>
      </c>
      <c r="R7" t="s">
        <v>41</v>
      </c>
      <c r="S7" t="s">
        <v>64</v>
      </c>
      <c r="T7">
        <v>16</v>
      </c>
      <c r="U7">
        <v>367048133</v>
      </c>
      <c r="V7" t="s">
        <v>65</v>
      </c>
      <c r="W7" s="1">
        <v>45308</v>
      </c>
      <c r="X7" s="1">
        <v>45316</v>
      </c>
      <c r="Y7" s="5">
        <f>IF(Table1[[#This Row],[NPA_Flag]]=1, Table1[[#This Row],[Outstanding_Amount]], 0)</f>
        <v>0</v>
      </c>
      <c r="Z7" s="1">
        <v>46053</v>
      </c>
    </row>
    <row r="8" spans="1:31" x14ac:dyDescent="0.25">
      <c r="A8" t="s">
        <v>66</v>
      </c>
      <c r="B8" t="s">
        <v>67</v>
      </c>
      <c r="C8" t="s">
        <v>38</v>
      </c>
      <c r="D8" t="s">
        <v>28</v>
      </c>
      <c r="E8" t="s">
        <v>45</v>
      </c>
      <c r="F8" t="s">
        <v>68</v>
      </c>
      <c r="G8">
        <v>4412427</v>
      </c>
      <c r="H8">
        <v>2707114</v>
      </c>
      <c r="I8">
        <v>1705313</v>
      </c>
      <c r="J8">
        <v>0.61</v>
      </c>
      <c r="K8">
        <v>9.02</v>
      </c>
      <c r="L8">
        <v>146</v>
      </c>
      <c r="M8" t="s">
        <v>69</v>
      </c>
      <c r="N8">
        <v>1</v>
      </c>
      <c r="O8" t="s">
        <v>70</v>
      </c>
      <c r="P8">
        <v>0</v>
      </c>
      <c r="Q8">
        <v>2</v>
      </c>
      <c r="R8" t="s">
        <v>47</v>
      </c>
      <c r="S8" t="s">
        <v>57</v>
      </c>
      <c r="T8">
        <v>22</v>
      </c>
      <c r="U8">
        <v>135100691</v>
      </c>
      <c r="V8" t="s">
        <v>35</v>
      </c>
      <c r="W8" s="1">
        <v>45033</v>
      </c>
      <c r="X8" s="1">
        <v>45040</v>
      </c>
      <c r="Y8" s="5">
        <f>IF(Table1[[#This Row],[NPA_Flag]]=1, Table1[[#This Row],[Outstanding_Amount]], 0)</f>
        <v>2707114</v>
      </c>
      <c r="Z8" s="1">
        <v>46053</v>
      </c>
      <c r="AC8" s="6"/>
      <c r="AD8" s="7"/>
      <c r="AE8" s="8"/>
    </row>
    <row r="9" spans="1:31" x14ac:dyDescent="0.25">
      <c r="A9" t="s">
        <v>71</v>
      </c>
      <c r="B9" t="s">
        <v>72</v>
      </c>
      <c r="C9" t="s">
        <v>27</v>
      </c>
      <c r="D9" t="s">
        <v>61</v>
      </c>
      <c r="E9" t="s">
        <v>73</v>
      </c>
      <c r="F9" t="s">
        <v>54</v>
      </c>
      <c r="G9">
        <v>5466203</v>
      </c>
      <c r="H9">
        <v>4661863</v>
      </c>
      <c r="I9">
        <v>804340</v>
      </c>
      <c r="J9">
        <v>0.85</v>
      </c>
      <c r="K9">
        <v>10.24</v>
      </c>
      <c r="L9">
        <v>13</v>
      </c>
      <c r="M9" t="s">
        <v>31</v>
      </c>
      <c r="N9">
        <v>0</v>
      </c>
      <c r="O9" t="s">
        <v>32</v>
      </c>
      <c r="P9">
        <v>0</v>
      </c>
      <c r="Q9">
        <v>1</v>
      </c>
      <c r="R9" t="s">
        <v>47</v>
      </c>
      <c r="S9" t="s">
        <v>34</v>
      </c>
      <c r="T9">
        <v>17</v>
      </c>
      <c r="U9">
        <v>412525472</v>
      </c>
      <c r="V9" t="s">
        <v>35</v>
      </c>
      <c r="W9" s="1">
        <v>44082</v>
      </c>
      <c r="X9" s="1">
        <v>44088</v>
      </c>
      <c r="Y9" s="5">
        <f>IF(Table1[[#This Row],[NPA_Flag]]=1, Table1[[#This Row],[Outstanding_Amount]], 0)</f>
        <v>0</v>
      </c>
      <c r="Z9" s="1">
        <v>46053</v>
      </c>
      <c r="AC9" s="9"/>
      <c r="AD9" s="10"/>
      <c r="AE9" s="11"/>
    </row>
    <row r="10" spans="1:31" x14ac:dyDescent="0.25">
      <c r="A10" t="s">
        <v>74</v>
      </c>
      <c r="B10" t="s">
        <v>75</v>
      </c>
      <c r="C10" t="s">
        <v>27</v>
      </c>
      <c r="D10" t="s">
        <v>39</v>
      </c>
      <c r="E10" t="s">
        <v>53</v>
      </c>
      <c r="F10" t="s">
        <v>30</v>
      </c>
      <c r="G10">
        <v>11387387</v>
      </c>
      <c r="H10">
        <v>9375901</v>
      </c>
      <c r="I10">
        <v>2011486</v>
      </c>
      <c r="J10">
        <v>0.82</v>
      </c>
      <c r="K10">
        <v>12.5</v>
      </c>
      <c r="L10">
        <v>18</v>
      </c>
      <c r="M10" t="s">
        <v>31</v>
      </c>
      <c r="N10">
        <v>0</v>
      </c>
      <c r="O10" t="s">
        <v>32</v>
      </c>
      <c r="P10">
        <v>1</v>
      </c>
      <c r="Q10">
        <v>5</v>
      </c>
      <c r="R10" t="s">
        <v>33</v>
      </c>
      <c r="S10" t="s">
        <v>34</v>
      </c>
      <c r="T10">
        <v>7</v>
      </c>
      <c r="U10">
        <v>246872703</v>
      </c>
      <c r="V10" t="s">
        <v>35</v>
      </c>
      <c r="W10" s="1">
        <v>45214</v>
      </c>
      <c r="X10" s="1">
        <v>45218</v>
      </c>
      <c r="Y10" s="5">
        <f>IF(Table1[[#This Row],[NPA_Flag]]=1, Table1[[#This Row],[Outstanding_Amount]], 0)</f>
        <v>0</v>
      </c>
      <c r="Z10" s="1">
        <v>46053</v>
      </c>
      <c r="AC10" s="9"/>
      <c r="AD10" s="10"/>
      <c r="AE10" s="11"/>
    </row>
    <row r="11" spans="1:31" x14ac:dyDescent="0.25">
      <c r="A11" t="s">
        <v>76</v>
      </c>
      <c r="B11" t="s">
        <v>77</v>
      </c>
      <c r="C11" t="s">
        <v>78</v>
      </c>
      <c r="D11" t="s">
        <v>52</v>
      </c>
      <c r="E11" t="s">
        <v>73</v>
      </c>
      <c r="F11" t="s">
        <v>30</v>
      </c>
      <c r="G11">
        <v>7919175</v>
      </c>
      <c r="H11">
        <v>6740846</v>
      </c>
      <c r="I11">
        <v>1178329</v>
      </c>
      <c r="J11">
        <v>0.85</v>
      </c>
      <c r="K11">
        <v>10.28</v>
      </c>
      <c r="L11">
        <v>19</v>
      </c>
      <c r="M11" t="s">
        <v>31</v>
      </c>
      <c r="N11">
        <v>0</v>
      </c>
      <c r="O11" t="s">
        <v>32</v>
      </c>
      <c r="P11">
        <v>1</v>
      </c>
      <c r="Q11">
        <v>2</v>
      </c>
      <c r="R11" t="s">
        <v>41</v>
      </c>
      <c r="S11" t="s">
        <v>79</v>
      </c>
      <c r="T11">
        <v>10</v>
      </c>
      <c r="U11">
        <v>171359832</v>
      </c>
      <c r="V11" t="s">
        <v>35</v>
      </c>
      <c r="W11" s="1">
        <v>44767</v>
      </c>
      <c r="X11" s="1">
        <v>44777</v>
      </c>
      <c r="Y11" s="5">
        <f>IF(Table1[[#This Row],[NPA_Flag]]=1, Table1[[#This Row],[Outstanding_Amount]], 0)</f>
        <v>0</v>
      </c>
      <c r="Z11" s="1">
        <v>46053</v>
      </c>
      <c r="AC11" s="9"/>
      <c r="AD11" s="10"/>
      <c r="AE11" s="11"/>
    </row>
    <row r="12" spans="1:31" x14ac:dyDescent="0.25">
      <c r="A12" t="s">
        <v>80</v>
      </c>
      <c r="B12" t="s">
        <v>81</v>
      </c>
      <c r="C12" t="s">
        <v>38</v>
      </c>
      <c r="D12" t="s">
        <v>28</v>
      </c>
      <c r="E12" t="s">
        <v>82</v>
      </c>
      <c r="F12" t="s">
        <v>68</v>
      </c>
      <c r="G12">
        <v>3464650</v>
      </c>
      <c r="H12">
        <v>2877445</v>
      </c>
      <c r="I12">
        <v>587205</v>
      </c>
      <c r="J12">
        <v>0.83</v>
      </c>
      <c r="K12">
        <v>13.72</v>
      </c>
      <c r="L12">
        <v>15</v>
      </c>
      <c r="M12" t="s">
        <v>31</v>
      </c>
      <c r="N12">
        <v>0</v>
      </c>
      <c r="O12" t="s">
        <v>32</v>
      </c>
      <c r="P12">
        <v>0</v>
      </c>
      <c r="Q12">
        <v>4</v>
      </c>
      <c r="R12" t="s">
        <v>33</v>
      </c>
      <c r="S12" t="s">
        <v>79</v>
      </c>
      <c r="T12">
        <v>19</v>
      </c>
      <c r="U12">
        <v>68569259</v>
      </c>
      <c r="V12" t="s">
        <v>65</v>
      </c>
      <c r="W12" s="1">
        <v>45296</v>
      </c>
      <c r="X12" s="1">
        <v>45301</v>
      </c>
      <c r="Y12" s="5">
        <f>IF(Table1[[#This Row],[NPA_Flag]]=1, Table1[[#This Row],[Outstanding_Amount]], 0)</f>
        <v>0</v>
      </c>
      <c r="Z12" s="1">
        <v>46053</v>
      </c>
      <c r="AC12" s="9"/>
      <c r="AD12" s="10"/>
      <c r="AE12" s="11"/>
    </row>
    <row r="13" spans="1:31" x14ac:dyDescent="0.25">
      <c r="A13" t="s">
        <v>83</v>
      </c>
      <c r="B13" t="s">
        <v>84</v>
      </c>
      <c r="C13" t="s">
        <v>78</v>
      </c>
      <c r="D13" t="s">
        <v>28</v>
      </c>
      <c r="E13" t="s">
        <v>85</v>
      </c>
      <c r="F13" t="s">
        <v>68</v>
      </c>
      <c r="G13">
        <v>6978497</v>
      </c>
      <c r="H13">
        <v>5473652</v>
      </c>
      <c r="I13">
        <v>1504845</v>
      </c>
      <c r="J13">
        <v>0.78</v>
      </c>
      <c r="K13">
        <v>12.73</v>
      </c>
      <c r="L13">
        <v>8</v>
      </c>
      <c r="M13" t="s">
        <v>31</v>
      </c>
      <c r="N13">
        <v>0</v>
      </c>
      <c r="O13" t="s">
        <v>32</v>
      </c>
      <c r="P13">
        <v>0</v>
      </c>
      <c r="Q13">
        <v>0</v>
      </c>
      <c r="R13" t="s">
        <v>33</v>
      </c>
      <c r="S13" t="s">
        <v>48</v>
      </c>
      <c r="T13">
        <v>1</v>
      </c>
      <c r="U13">
        <v>366690008</v>
      </c>
      <c r="V13" t="s">
        <v>35</v>
      </c>
      <c r="W13" s="1">
        <v>44702</v>
      </c>
      <c r="X13" s="1">
        <v>44709</v>
      </c>
      <c r="Y13" s="5">
        <f>IF(Table1[[#This Row],[NPA_Flag]]=1, Table1[[#This Row],[Outstanding_Amount]], 0)</f>
        <v>0</v>
      </c>
      <c r="Z13" s="1">
        <v>46053</v>
      </c>
      <c r="AC13" s="9"/>
      <c r="AD13" s="10"/>
      <c r="AE13" s="11"/>
    </row>
    <row r="14" spans="1:31" x14ac:dyDescent="0.25">
      <c r="A14" t="s">
        <v>86</v>
      </c>
      <c r="B14" t="s">
        <v>87</v>
      </c>
      <c r="C14" t="s">
        <v>38</v>
      </c>
      <c r="D14" t="s">
        <v>28</v>
      </c>
      <c r="E14" t="s">
        <v>82</v>
      </c>
      <c r="F14" t="s">
        <v>54</v>
      </c>
      <c r="G14">
        <v>10235577</v>
      </c>
      <c r="H14">
        <v>8682066</v>
      </c>
      <c r="I14">
        <v>1553511</v>
      </c>
      <c r="J14">
        <v>0.85</v>
      </c>
      <c r="K14">
        <v>13.59</v>
      </c>
      <c r="L14">
        <v>8</v>
      </c>
      <c r="M14" t="s">
        <v>31</v>
      </c>
      <c r="N14">
        <v>0</v>
      </c>
      <c r="O14" t="s">
        <v>32</v>
      </c>
      <c r="P14">
        <v>1</v>
      </c>
      <c r="Q14">
        <v>1</v>
      </c>
      <c r="R14" t="s">
        <v>33</v>
      </c>
      <c r="S14" t="s">
        <v>64</v>
      </c>
      <c r="T14">
        <v>2</v>
      </c>
      <c r="U14">
        <v>437889354</v>
      </c>
      <c r="V14" t="s">
        <v>58</v>
      </c>
      <c r="W14" s="1">
        <v>44834</v>
      </c>
      <c r="X14" s="1">
        <v>44840</v>
      </c>
      <c r="Y14" s="5">
        <f>IF(Table1[[#This Row],[NPA_Flag]]=1, Table1[[#This Row],[Outstanding_Amount]], 0)</f>
        <v>0</v>
      </c>
      <c r="Z14" s="1">
        <v>46053</v>
      </c>
      <c r="AC14" s="9"/>
      <c r="AD14" s="10"/>
      <c r="AE14" s="11"/>
    </row>
    <row r="15" spans="1:31" x14ac:dyDescent="0.25">
      <c r="A15" t="s">
        <v>88</v>
      </c>
      <c r="B15" t="s">
        <v>89</v>
      </c>
      <c r="C15" t="s">
        <v>27</v>
      </c>
      <c r="D15" t="s">
        <v>52</v>
      </c>
      <c r="E15" t="s">
        <v>45</v>
      </c>
      <c r="F15" t="s">
        <v>68</v>
      </c>
      <c r="G15">
        <v>12340887</v>
      </c>
      <c r="H15">
        <v>9733036</v>
      </c>
      <c r="I15">
        <v>2607851</v>
      </c>
      <c r="J15">
        <v>0.79</v>
      </c>
      <c r="K15">
        <v>14.05</v>
      </c>
      <c r="L15">
        <v>85</v>
      </c>
      <c r="M15" t="s">
        <v>90</v>
      </c>
      <c r="N15">
        <v>0</v>
      </c>
      <c r="O15" t="s">
        <v>70</v>
      </c>
      <c r="P15">
        <v>0</v>
      </c>
      <c r="Q15">
        <v>2</v>
      </c>
      <c r="R15" t="s">
        <v>91</v>
      </c>
      <c r="S15" t="s">
        <v>57</v>
      </c>
      <c r="T15">
        <v>19</v>
      </c>
      <c r="U15">
        <v>175666257</v>
      </c>
      <c r="V15" t="s">
        <v>35</v>
      </c>
      <c r="W15" s="1">
        <v>45061</v>
      </c>
      <c r="X15" s="1">
        <v>45064</v>
      </c>
      <c r="Y15" s="5">
        <f>IF(Table1[[#This Row],[NPA_Flag]]=1, Table1[[#This Row],[Outstanding_Amount]], 0)</f>
        <v>0</v>
      </c>
      <c r="Z15" s="1">
        <v>46053</v>
      </c>
      <c r="AC15" s="9"/>
      <c r="AD15" s="10"/>
      <c r="AE15" s="11"/>
    </row>
    <row r="16" spans="1:31" x14ac:dyDescent="0.25">
      <c r="A16" t="s">
        <v>92</v>
      </c>
      <c r="B16" t="s">
        <v>93</v>
      </c>
      <c r="C16" t="s">
        <v>27</v>
      </c>
      <c r="D16" t="s">
        <v>28</v>
      </c>
      <c r="E16" t="s">
        <v>94</v>
      </c>
      <c r="F16" t="s">
        <v>46</v>
      </c>
      <c r="G16">
        <v>13948635</v>
      </c>
      <c r="H16">
        <v>9999272</v>
      </c>
      <c r="I16">
        <v>3949363</v>
      </c>
      <c r="J16">
        <v>0.72</v>
      </c>
      <c r="K16">
        <v>10.11</v>
      </c>
      <c r="L16">
        <v>23</v>
      </c>
      <c r="M16" t="s">
        <v>31</v>
      </c>
      <c r="N16">
        <v>0</v>
      </c>
      <c r="O16" t="s">
        <v>32</v>
      </c>
      <c r="P16">
        <v>1</v>
      </c>
      <c r="Q16">
        <v>1</v>
      </c>
      <c r="R16" t="s">
        <v>91</v>
      </c>
      <c r="S16" t="s">
        <v>57</v>
      </c>
      <c r="T16">
        <v>11</v>
      </c>
      <c r="U16">
        <v>55072177</v>
      </c>
      <c r="V16" t="s">
        <v>65</v>
      </c>
      <c r="W16" s="1">
        <v>43916</v>
      </c>
      <c r="X16" s="1">
        <v>43923</v>
      </c>
      <c r="Y16" s="5">
        <f>IF(Table1[[#This Row],[NPA_Flag]]=1, Table1[[#This Row],[Outstanding_Amount]], 0)</f>
        <v>0</v>
      </c>
      <c r="Z16" s="1">
        <v>46053</v>
      </c>
      <c r="AC16" s="9"/>
      <c r="AD16" s="10"/>
      <c r="AE16" s="11"/>
    </row>
    <row r="17" spans="1:31" x14ac:dyDescent="0.25">
      <c r="A17" t="s">
        <v>95</v>
      </c>
      <c r="B17" t="s">
        <v>96</v>
      </c>
      <c r="C17" t="s">
        <v>44</v>
      </c>
      <c r="D17" t="s">
        <v>52</v>
      </c>
      <c r="E17" t="s">
        <v>97</v>
      </c>
      <c r="F17" t="s">
        <v>54</v>
      </c>
      <c r="G17">
        <v>3691409</v>
      </c>
      <c r="H17">
        <v>3130835</v>
      </c>
      <c r="I17">
        <v>560574</v>
      </c>
      <c r="J17">
        <v>0.85</v>
      </c>
      <c r="K17">
        <v>10.23</v>
      </c>
      <c r="L17">
        <v>14</v>
      </c>
      <c r="M17" t="s">
        <v>31</v>
      </c>
      <c r="N17">
        <v>0</v>
      </c>
      <c r="O17" t="s">
        <v>32</v>
      </c>
      <c r="P17">
        <v>0</v>
      </c>
      <c r="Q17">
        <v>1</v>
      </c>
      <c r="R17" t="s">
        <v>41</v>
      </c>
      <c r="S17" t="s">
        <v>48</v>
      </c>
      <c r="T17">
        <v>11</v>
      </c>
      <c r="U17">
        <v>25573983</v>
      </c>
      <c r="V17" t="s">
        <v>35</v>
      </c>
      <c r="W17" s="1">
        <v>44062</v>
      </c>
      <c r="X17" s="1">
        <v>44068</v>
      </c>
      <c r="Y17" s="5">
        <f>IF(Table1[[#This Row],[NPA_Flag]]=1, Table1[[#This Row],[Outstanding_Amount]], 0)</f>
        <v>0</v>
      </c>
      <c r="Z17" s="1">
        <v>46053</v>
      </c>
      <c r="AC17" s="9"/>
      <c r="AD17" s="10"/>
      <c r="AE17" s="11"/>
    </row>
    <row r="18" spans="1:31" x14ac:dyDescent="0.25">
      <c r="A18" t="s">
        <v>98</v>
      </c>
      <c r="B18" t="s">
        <v>99</v>
      </c>
      <c r="C18" t="s">
        <v>38</v>
      </c>
      <c r="D18" t="s">
        <v>28</v>
      </c>
      <c r="E18" t="s">
        <v>85</v>
      </c>
      <c r="F18" t="s">
        <v>54</v>
      </c>
      <c r="G18">
        <v>13726125</v>
      </c>
      <c r="H18">
        <v>9274526</v>
      </c>
      <c r="I18">
        <v>4451599</v>
      </c>
      <c r="J18">
        <v>0.68</v>
      </c>
      <c r="K18">
        <v>12.44</v>
      </c>
      <c r="L18">
        <v>5</v>
      </c>
      <c r="M18" t="s">
        <v>31</v>
      </c>
      <c r="N18">
        <v>0</v>
      </c>
      <c r="O18" t="s">
        <v>32</v>
      </c>
      <c r="P18">
        <v>0</v>
      </c>
      <c r="Q18">
        <v>2</v>
      </c>
      <c r="R18" t="s">
        <v>41</v>
      </c>
      <c r="S18" t="s">
        <v>79</v>
      </c>
      <c r="T18">
        <v>17</v>
      </c>
      <c r="U18">
        <v>122835147</v>
      </c>
      <c r="V18" t="s">
        <v>65</v>
      </c>
      <c r="W18" s="1">
        <v>44086</v>
      </c>
      <c r="X18" s="1">
        <v>44088</v>
      </c>
      <c r="Y18" s="5">
        <f>IF(Table1[[#This Row],[NPA_Flag]]=1, Table1[[#This Row],[Outstanding_Amount]], 0)</f>
        <v>0</v>
      </c>
      <c r="Z18" s="1">
        <v>46053</v>
      </c>
      <c r="AC18" s="9"/>
      <c r="AD18" s="10"/>
      <c r="AE18" s="11"/>
    </row>
    <row r="19" spans="1:31" x14ac:dyDescent="0.25">
      <c r="A19" t="s">
        <v>100</v>
      </c>
      <c r="B19" t="s">
        <v>101</v>
      </c>
      <c r="C19" t="s">
        <v>38</v>
      </c>
      <c r="D19" t="s">
        <v>39</v>
      </c>
      <c r="E19" t="s">
        <v>102</v>
      </c>
      <c r="F19" t="s">
        <v>54</v>
      </c>
      <c r="G19">
        <v>6024686</v>
      </c>
      <c r="H19">
        <v>4374357</v>
      </c>
      <c r="I19">
        <v>1650329</v>
      </c>
      <c r="J19">
        <v>0.73</v>
      </c>
      <c r="K19">
        <v>12.87</v>
      </c>
      <c r="L19">
        <v>23</v>
      </c>
      <c r="M19" t="s">
        <v>31</v>
      </c>
      <c r="N19">
        <v>0</v>
      </c>
      <c r="O19" t="s">
        <v>32</v>
      </c>
      <c r="P19">
        <v>0</v>
      </c>
      <c r="Q19">
        <v>2</v>
      </c>
      <c r="R19" t="s">
        <v>41</v>
      </c>
      <c r="S19" t="s">
        <v>57</v>
      </c>
      <c r="T19">
        <v>25</v>
      </c>
      <c r="U19">
        <v>406893230</v>
      </c>
      <c r="V19" t="s">
        <v>35</v>
      </c>
      <c r="W19" s="1">
        <v>44309</v>
      </c>
      <c r="X19" s="1">
        <v>44317</v>
      </c>
      <c r="Y19" s="5">
        <f>IF(Table1[[#This Row],[NPA_Flag]]=1, Table1[[#This Row],[Outstanding_Amount]], 0)</f>
        <v>0</v>
      </c>
      <c r="Z19" s="1">
        <v>46053</v>
      </c>
      <c r="AC19" s="9"/>
      <c r="AD19" s="10"/>
      <c r="AE19" s="11"/>
    </row>
    <row r="20" spans="1:31" x14ac:dyDescent="0.25">
      <c r="A20" t="s">
        <v>103</v>
      </c>
      <c r="B20" t="s">
        <v>104</v>
      </c>
      <c r="C20" t="s">
        <v>44</v>
      </c>
      <c r="D20" t="s">
        <v>61</v>
      </c>
      <c r="E20" t="s">
        <v>45</v>
      </c>
      <c r="F20" t="s">
        <v>46</v>
      </c>
      <c r="G20">
        <v>7602092</v>
      </c>
      <c r="H20">
        <v>7154709</v>
      </c>
      <c r="I20">
        <v>447383</v>
      </c>
      <c r="J20">
        <v>0.94</v>
      </c>
      <c r="K20">
        <v>12.23</v>
      </c>
      <c r="L20">
        <v>55</v>
      </c>
      <c r="M20" t="s">
        <v>55</v>
      </c>
      <c r="N20">
        <v>0</v>
      </c>
      <c r="O20" t="s">
        <v>56</v>
      </c>
      <c r="P20">
        <v>0</v>
      </c>
      <c r="Q20">
        <v>0</v>
      </c>
      <c r="R20" t="s">
        <v>41</v>
      </c>
      <c r="S20" t="s">
        <v>79</v>
      </c>
      <c r="T20">
        <v>8</v>
      </c>
      <c r="U20">
        <v>385127346</v>
      </c>
      <c r="V20" t="s">
        <v>49</v>
      </c>
      <c r="W20" s="1">
        <v>44103</v>
      </c>
      <c r="X20" s="1">
        <v>44109</v>
      </c>
      <c r="Y20" s="5">
        <f>IF(Table1[[#This Row],[NPA_Flag]]=1, Table1[[#This Row],[Outstanding_Amount]], 0)</f>
        <v>0</v>
      </c>
      <c r="Z20" s="1">
        <v>46053</v>
      </c>
      <c r="AC20" s="9"/>
      <c r="AD20" s="10"/>
      <c r="AE20" s="11"/>
    </row>
    <row r="21" spans="1:31" x14ac:dyDescent="0.25">
      <c r="A21" t="s">
        <v>105</v>
      </c>
      <c r="B21" t="s">
        <v>106</v>
      </c>
      <c r="C21" t="s">
        <v>27</v>
      </c>
      <c r="D21" t="s">
        <v>39</v>
      </c>
      <c r="E21" t="s">
        <v>40</v>
      </c>
      <c r="F21" t="s">
        <v>46</v>
      </c>
      <c r="G21">
        <v>11313164</v>
      </c>
      <c r="H21">
        <v>9147099</v>
      </c>
      <c r="I21">
        <v>2166065</v>
      </c>
      <c r="J21">
        <v>0.81</v>
      </c>
      <c r="K21">
        <v>14.12</v>
      </c>
      <c r="L21">
        <v>63</v>
      </c>
      <c r="M21" t="s">
        <v>90</v>
      </c>
      <c r="N21">
        <v>0</v>
      </c>
      <c r="O21" t="s">
        <v>70</v>
      </c>
      <c r="P21">
        <v>1</v>
      </c>
      <c r="Q21">
        <v>3</v>
      </c>
      <c r="R21" t="s">
        <v>91</v>
      </c>
      <c r="S21" t="s">
        <v>79</v>
      </c>
      <c r="T21">
        <v>8</v>
      </c>
      <c r="U21">
        <v>61159234</v>
      </c>
      <c r="V21" t="s">
        <v>65</v>
      </c>
      <c r="W21" s="1">
        <v>44643</v>
      </c>
      <c r="X21" s="1">
        <v>44653</v>
      </c>
      <c r="Y21" s="5">
        <f>IF(Table1[[#This Row],[NPA_Flag]]=1, Table1[[#This Row],[Outstanding_Amount]], 0)</f>
        <v>0</v>
      </c>
      <c r="Z21" s="1">
        <v>46053</v>
      </c>
      <c r="AC21" s="9"/>
      <c r="AD21" s="10"/>
      <c r="AE21" s="11"/>
    </row>
    <row r="22" spans="1:31" x14ac:dyDescent="0.25">
      <c r="A22" t="s">
        <v>107</v>
      </c>
      <c r="B22" t="s">
        <v>108</v>
      </c>
      <c r="C22" t="s">
        <v>38</v>
      </c>
      <c r="D22" t="s">
        <v>52</v>
      </c>
      <c r="E22" t="s">
        <v>102</v>
      </c>
      <c r="F22" t="s">
        <v>54</v>
      </c>
      <c r="G22">
        <v>8417343</v>
      </c>
      <c r="H22">
        <v>5705620</v>
      </c>
      <c r="I22">
        <v>2711723</v>
      </c>
      <c r="J22">
        <v>0.68</v>
      </c>
      <c r="K22">
        <v>14.5</v>
      </c>
      <c r="L22">
        <v>46</v>
      </c>
      <c r="M22" t="s">
        <v>55</v>
      </c>
      <c r="N22">
        <v>0</v>
      </c>
      <c r="O22" t="s">
        <v>56</v>
      </c>
      <c r="P22">
        <v>0</v>
      </c>
      <c r="Q22">
        <v>0</v>
      </c>
      <c r="R22" t="s">
        <v>91</v>
      </c>
      <c r="S22" t="s">
        <v>64</v>
      </c>
      <c r="T22">
        <v>22</v>
      </c>
      <c r="U22">
        <v>485778564</v>
      </c>
      <c r="V22" t="s">
        <v>58</v>
      </c>
      <c r="W22" s="1">
        <v>43980</v>
      </c>
      <c r="X22" s="1">
        <v>43988</v>
      </c>
      <c r="Y22" s="5">
        <f>IF(Table1[[#This Row],[NPA_Flag]]=1, Table1[[#This Row],[Outstanding_Amount]], 0)</f>
        <v>0</v>
      </c>
      <c r="Z22" s="1">
        <v>46053</v>
      </c>
      <c r="AC22" s="9"/>
      <c r="AD22" s="10"/>
      <c r="AE22" s="11"/>
    </row>
    <row r="23" spans="1:31" x14ac:dyDescent="0.25">
      <c r="A23" t="s">
        <v>109</v>
      </c>
      <c r="B23" t="s">
        <v>110</v>
      </c>
      <c r="C23" t="s">
        <v>38</v>
      </c>
      <c r="D23" t="s">
        <v>28</v>
      </c>
      <c r="E23" t="s">
        <v>82</v>
      </c>
      <c r="F23" t="s">
        <v>68</v>
      </c>
      <c r="G23">
        <v>5600419</v>
      </c>
      <c r="H23">
        <v>4182766</v>
      </c>
      <c r="I23">
        <v>1417653</v>
      </c>
      <c r="J23">
        <v>0.75</v>
      </c>
      <c r="K23">
        <v>13.85</v>
      </c>
      <c r="L23">
        <v>30</v>
      </c>
      <c r="M23" t="s">
        <v>31</v>
      </c>
      <c r="N23">
        <v>0</v>
      </c>
      <c r="O23" t="s">
        <v>32</v>
      </c>
      <c r="P23">
        <v>0</v>
      </c>
      <c r="Q23">
        <v>3</v>
      </c>
      <c r="R23" t="s">
        <v>33</v>
      </c>
      <c r="S23" t="s">
        <v>48</v>
      </c>
      <c r="T23">
        <v>1</v>
      </c>
      <c r="U23">
        <v>52134123</v>
      </c>
      <c r="V23" t="s">
        <v>58</v>
      </c>
      <c r="W23" s="1">
        <v>44932</v>
      </c>
      <c r="X23" s="1">
        <v>44940</v>
      </c>
      <c r="Y23" s="5">
        <f>IF(Table1[[#This Row],[NPA_Flag]]=1, Table1[[#This Row],[Outstanding_Amount]], 0)</f>
        <v>0</v>
      </c>
      <c r="Z23" s="1">
        <v>46053</v>
      </c>
      <c r="AC23" s="9"/>
      <c r="AD23" s="10"/>
      <c r="AE23" s="11"/>
    </row>
    <row r="24" spans="1:31" x14ac:dyDescent="0.25">
      <c r="A24" t="s">
        <v>111</v>
      </c>
      <c r="B24" t="s">
        <v>112</v>
      </c>
      <c r="C24" t="s">
        <v>78</v>
      </c>
      <c r="D24" t="s">
        <v>52</v>
      </c>
      <c r="E24" t="s">
        <v>40</v>
      </c>
      <c r="F24" t="s">
        <v>30</v>
      </c>
      <c r="G24">
        <v>13465115</v>
      </c>
      <c r="H24">
        <v>8497945</v>
      </c>
      <c r="I24">
        <v>4967170</v>
      </c>
      <c r="J24">
        <v>0.63</v>
      </c>
      <c r="K24">
        <v>9.6300000000000008</v>
      </c>
      <c r="L24">
        <v>26</v>
      </c>
      <c r="M24" t="s">
        <v>31</v>
      </c>
      <c r="N24">
        <v>0</v>
      </c>
      <c r="O24" t="s">
        <v>32</v>
      </c>
      <c r="P24">
        <v>1</v>
      </c>
      <c r="Q24">
        <v>1</v>
      </c>
      <c r="R24" t="s">
        <v>33</v>
      </c>
      <c r="S24" t="s">
        <v>34</v>
      </c>
      <c r="T24">
        <v>17</v>
      </c>
      <c r="U24">
        <v>272987670</v>
      </c>
      <c r="V24" t="s">
        <v>35</v>
      </c>
      <c r="W24" s="1">
        <v>45224</v>
      </c>
      <c r="X24" s="1">
        <v>45228</v>
      </c>
      <c r="Y24" s="5">
        <f>IF(Table1[[#This Row],[NPA_Flag]]=1, Table1[[#This Row],[Outstanding_Amount]], 0)</f>
        <v>0</v>
      </c>
      <c r="Z24" s="1">
        <v>46053</v>
      </c>
      <c r="AC24" s="9"/>
      <c r="AD24" s="10"/>
      <c r="AE24" s="11"/>
    </row>
    <row r="25" spans="1:31" x14ac:dyDescent="0.25">
      <c r="A25" t="s">
        <v>113</v>
      </c>
      <c r="B25" t="s">
        <v>114</v>
      </c>
      <c r="C25" t="s">
        <v>38</v>
      </c>
      <c r="D25" t="s">
        <v>52</v>
      </c>
      <c r="E25" t="s">
        <v>40</v>
      </c>
      <c r="F25" t="s">
        <v>54</v>
      </c>
      <c r="G25">
        <v>2684100</v>
      </c>
      <c r="H25">
        <v>2163951</v>
      </c>
      <c r="I25">
        <v>520149</v>
      </c>
      <c r="J25">
        <v>0.81</v>
      </c>
      <c r="K25">
        <v>12.08</v>
      </c>
      <c r="L25">
        <v>27</v>
      </c>
      <c r="M25" t="s">
        <v>31</v>
      </c>
      <c r="N25">
        <v>0</v>
      </c>
      <c r="O25" t="s">
        <v>32</v>
      </c>
      <c r="P25">
        <v>0</v>
      </c>
      <c r="Q25">
        <v>5</v>
      </c>
      <c r="R25" t="s">
        <v>47</v>
      </c>
      <c r="S25" t="s">
        <v>34</v>
      </c>
      <c r="T25">
        <v>9</v>
      </c>
      <c r="U25">
        <v>340145061</v>
      </c>
      <c r="V25" t="s">
        <v>58</v>
      </c>
      <c r="W25" s="1">
        <v>44031</v>
      </c>
      <c r="X25" s="1">
        <v>44040</v>
      </c>
      <c r="Y25" s="5">
        <f>IF(Table1[[#This Row],[NPA_Flag]]=1, Table1[[#This Row],[Outstanding_Amount]], 0)</f>
        <v>0</v>
      </c>
      <c r="Z25" s="1">
        <v>46053</v>
      </c>
      <c r="AC25" s="12"/>
      <c r="AD25" s="13"/>
      <c r="AE25" s="14"/>
    </row>
    <row r="26" spans="1:31" x14ac:dyDescent="0.25">
      <c r="A26" t="s">
        <v>115</v>
      </c>
      <c r="B26" t="s">
        <v>77</v>
      </c>
      <c r="C26" t="s">
        <v>38</v>
      </c>
      <c r="D26" t="s">
        <v>28</v>
      </c>
      <c r="E26" t="s">
        <v>82</v>
      </c>
      <c r="F26" t="s">
        <v>46</v>
      </c>
      <c r="G26">
        <v>10853437</v>
      </c>
      <c r="H26">
        <v>7074521</v>
      </c>
      <c r="I26">
        <v>3778916</v>
      </c>
      <c r="J26">
        <v>0.65</v>
      </c>
      <c r="K26">
        <v>11.14</v>
      </c>
      <c r="L26">
        <v>11</v>
      </c>
      <c r="M26" t="s">
        <v>31</v>
      </c>
      <c r="N26">
        <v>0</v>
      </c>
      <c r="O26" t="s">
        <v>32</v>
      </c>
      <c r="P26">
        <v>1</v>
      </c>
      <c r="Q26">
        <v>5</v>
      </c>
      <c r="R26" t="s">
        <v>41</v>
      </c>
      <c r="S26" t="s">
        <v>48</v>
      </c>
      <c r="T26">
        <v>19</v>
      </c>
      <c r="U26">
        <v>412038478</v>
      </c>
      <c r="V26" t="s">
        <v>35</v>
      </c>
      <c r="W26" s="1">
        <v>44335</v>
      </c>
      <c r="X26" s="1">
        <v>44341</v>
      </c>
      <c r="Y26" s="5">
        <f>IF(Table1[[#This Row],[NPA_Flag]]=1, Table1[[#This Row],[Outstanding_Amount]], 0)</f>
        <v>0</v>
      </c>
      <c r="Z26" s="1">
        <v>46053</v>
      </c>
    </row>
    <row r="27" spans="1:31" x14ac:dyDescent="0.25">
      <c r="A27" t="s">
        <v>116</v>
      </c>
      <c r="B27" t="s">
        <v>117</v>
      </c>
      <c r="C27" t="s">
        <v>78</v>
      </c>
      <c r="D27" t="s">
        <v>39</v>
      </c>
      <c r="E27" t="s">
        <v>45</v>
      </c>
      <c r="F27" t="s">
        <v>68</v>
      </c>
      <c r="G27">
        <v>13836484</v>
      </c>
      <c r="H27">
        <v>11734480</v>
      </c>
      <c r="I27">
        <v>2102004</v>
      </c>
      <c r="J27">
        <v>0.85</v>
      </c>
      <c r="K27">
        <v>10.57</v>
      </c>
      <c r="L27">
        <v>11</v>
      </c>
      <c r="M27" t="s">
        <v>31</v>
      </c>
      <c r="N27">
        <v>0</v>
      </c>
      <c r="O27" t="s">
        <v>32</v>
      </c>
      <c r="P27">
        <v>0</v>
      </c>
      <c r="Q27">
        <v>5</v>
      </c>
      <c r="R27" t="s">
        <v>41</v>
      </c>
      <c r="S27" t="s">
        <v>57</v>
      </c>
      <c r="T27">
        <v>5</v>
      </c>
      <c r="U27">
        <v>76436285</v>
      </c>
      <c r="V27" t="s">
        <v>49</v>
      </c>
      <c r="W27" s="1">
        <v>44802</v>
      </c>
      <c r="X27" s="1">
        <v>44803</v>
      </c>
      <c r="Y27" s="5">
        <f>IF(Table1[[#This Row],[NPA_Flag]]=1, Table1[[#This Row],[Outstanding_Amount]], 0)</f>
        <v>0</v>
      </c>
      <c r="Z27" s="1">
        <v>46053</v>
      </c>
    </row>
    <row r="28" spans="1:31" x14ac:dyDescent="0.25">
      <c r="A28" t="s">
        <v>118</v>
      </c>
      <c r="B28" t="s">
        <v>119</v>
      </c>
      <c r="C28" t="s">
        <v>38</v>
      </c>
      <c r="D28" t="s">
        <v>39</v>
      </c>
      <c r="E28" t="s">
        <v>82</v>
      </c>
      <c r="F28" t="s">
        <v>68</v>
      </c>
      <c r="G28">
        <v>5974017</v>
      </c>
      <c r="H28">
        <v>3601356</v>
      </c>
      <c r="I28">
        <v>2372661</v>
      </c>
      <c r="J28">
        <v>0.6</v>
      </c>
      <c r="K28">
        <v>11.13</v>
      </c>
      <c r="L28">
        <v>13</v>
      </c>
      <c r="M28" t="s">
        <v>31</v>
      </c>
      <c r="N28">
        <v>0</v>
      </c>
      <c r="O28" t="s">
        <v>32</v>
      </c>
      <c r="P28">
        <v>1</v>
      </c>
      <c r="Q28">
        <v>3</v>
      </c>
      <c r="R28" t="s">
        <v>47</v>
      </c>
      <c r="S28" t="s">
        <v>64</v>
      </c>
      <c r="T28">
        <v>16</v>
      </c>
      <c r="U28">
        <v>265070132</v>
      </c>
      <c r="V28" t="s">
        <v>35</v>
      </c>
      <c r="W28" s="1">
        <v>44022</v>
      </c>
      <c r="X28" s="1">
        <v>44028</v>
      </c>
      <c r="Y28" s="5">
        <f>IF(Table1[[#This Row],[NPA_Flag]]=1, Table1[[#This Row],[Outstanding_Amount]], 0)</f>
        <v>0</v>
      </c>
      <c r="Z28" s="1">
        <v>46053</v>
      </c>
    </row>
    <row r="29" spans="1:31" x14ac:dyDescent="0.25">
      <c r="A29" t="s">
        <v>120</v>
      </c>
      <c r="B29" t="s">
        <v>121</v>
      </c>
      <c r="C29" t="s">
        <v>27</v>
      </c>
      <c r="D29" t="s">
        <v>28</v>
      </c>
      <c r="E29" t="s">
        <v>53</v>
      </c>
      <c r="F29" t="s">
        <v>54</v>
      </c>
      <c r="G29">
        <v>11273409</v>
      </c>
      <c r="H29">
        <v>7743878</v>
      </c>
      <c r="I29">
        <v>3529531</v>
      </c>
      <c r="J29">
        <v>0.69</v>
      </c>
      <c r="K29">
        <v>13.56</v>
      </c>
      <c r="L29">
        <v>12</v>
      </c>
      <c r="M29" t="s">
        <v>31</v>
      </c>
      <c r="N29">
        <v>0</v>
      </c>
      <c r="O29" t="s">
        <v>32</v>
      </c>
      <c r="P29">
        <v>0</v>
      </c>
      <c r="Q29">
        <v>2</v>
      </c>
      <c r="R29" t="s">
        <v>91</v>
      </c>
      <c r="S29" t="s">
        <v>48</v>
      </c>
      <c r="T29">
        <v>10</v>
      </c>
      <c r="U29">
        <v>48916009</v>
      </c>
      <c r="V29" t="s">
        <v>65</v>
      </c>
      <c r="W29" s="1">
        <v>44107</v>
      </c>
      <c r="X29" s="1">
        <v>44109</v>
      </c>
      <c r="Y29" s="5">
        <f>IF(Table1[[#This Row],[NPA_Flag]]=1, Table1[[#This Row],[Outstanding_Amount]], 0)</f>
        <v>0</v>
      </c>
      <c r="Z29" s="1">
        <v>46053</v>
      </c>
    </row>
    <row r="30" spans="1:31" x14ac:dyDescent="0.25">
      <c r="A30" t="s">
        <v>122</v>
      </c>
      <c r="B30" t="s">
        <v>123</v>
      </c>
      <c r="C30" t="s">
        <v>38</v>
      </c>
      <c r="D30" t="s">
        <v>28</v>
      </c>
      <c r="E30" t="s">
        <v>40</v>
      </c>
      <c r="F30" t="s">
        <v>30</v>
      </c>
      <c r="G30">
        <v>14243532</v>
      </c>
      <c r="H30">
        <v>8757111</v>
      </c>
      <c r="I30">
        <v>5486421</v>
      </c>
      <c r="J30">
        <v>0.61</v>
      </c>
      <c r="K30">
        <v>14.32</v>
      </c>
      <c r="L30">
        <v>29</v>
      </c>
      <c r="M30" t="s">
        <v>31</v>
      </c>
      <c r="N30">
        <v>0</v>
      </c>
      <c r="O30" t="s">
        <v>32</v>
      </c>
      <c r="P30">
        <v>1</v>
      </c>
      <c r="Q30">
        <v>5</v>
      </c>
      <c r="R30" t="s">
        <v>91</v>
      </c>
      <c r="S30" t="s">
        <v>48</v>
      </c>
      <c r="T30">
        <v>4</v>
      </c>
      <c r="U30">
        <v>94932981</v>
      </c>
      <c r="V30" t="s">
        <v>58</v>
      </c>
      <c r="W30" s="1">
        <v>45302</v>
      </c>
      <c r="X30" s="1">
        <v>45311</v>
      </c>
      <c r="Y30" s="5">
        <f>IF(Table1[[#This Row],[NPA_Flag]]=1, Table1[[#This Row],[Outstanding_Amount]], 0)</f>
        <v>0</v>
      </c>
      <c r="Z30" s="1">
        <v>46053</v>
      </c>
    </row>
    <row r="31" spans="1:31" x14ac:dyDescent="0.25">
      <c r="A31" t="s">
        <v>124</v>
      </c>
      <c r="B31" t="s">
        <v>125</v>
      </c>
      <c r="C31" t="s">
        <v>78</v>
      </c>
      <c r="D31" t="s">
        <v>28</v>
      </c>
      <c r="E31" t="s">
        <v>73</v>
      </c>
      <c r="F31" t="s">
        <v>54</v>
      </c>
      <c r="G31">
        <v>8322647</v>
      </c>
      <c r="H31">
        <v>6083220</v>
      </c>
      <c r="I31">
        <v>2239427</v>
      </c>
      <c r="J31">
        <v>0.73</v>
      </c>
      <c r="K31">
        <v>9.41</v>
      </c>
      <c r="L31">
        <v>7</v>
      </c>
      <c r="M31" t="s">
        <v>31</v>
      </c>
      <c r="N31">
        <v>0</v>
      </c>
      <c r="O31" t="s">
        <v>32</v>
      </c>
      <c r="P31">
        <v>0</v>
      </c>
      <c r="Q31">
        <v>1</v>
      </c>
      <c r="R31" t="s">
        <v>41</v>
      </c>
      <c r="S31" t="s">
        <v>57</v>
      </c>
      <c r="T31">
        <v>3</v>
      </c>
      <c r="U31">
        <v>102546497</v>
      </c>
      <c r="V31" t="s">
        <v>35</v>
      </c>
      <c r="W31" s="1">
        <v>45233</v>
      </c>
      <c r="X31" s="1">
        <v>45237</v>
      </c>
      <c r="Y31" s="5">
        <f>IF(Table1[[#This Row],[NPA_Flag]]=1, Table1[[#This Row],[Outstanding_Amount]], 0)</f>
        <v>0</v>
      </c>
      <c r="Z31" s="1">
        <v>46053</v>
      </c>
    </row>
    <row r="32" spans="1:31" x14ac:dyDescent="0.25">
      <c r="A32" t="s">
        <v>126</v>
      </c>
      <c r="B32" t="s">
        <v>127</v>
      </c>
      <c r="C32" t="s">
        <v>78</v>
      </c>
      <c r="D32" t="s">
        <v>52</v>
      </c>
      <c r="E32" t="s">
        <v>40</v>
      </c>
      <c r="F32" t="s">
        <v>54</v>
      </c>
      <c r="G32">
        <v>11298133</v>
      </c>
      <c r="H32">
        <v>7566549</v>
      </c>
      <c r="I32">
        <v>3731584</v>
      </c>
      <c r="J32">
        <v>0.67</v>
      </c>
      <c r="K32">
        <v>12.55</v>
      </c>
      <c r="L32">
        <v>20</v>
      </c>
      <c r="M32" t="s">
        <v>31</v>
      </c>
      <c r="N32">
        <v>0</v>
      </c>
      <c r="O32" t="s">
        <v>32</v>
      </c>
      <c r="P32">
        <v>1</v>
      </c>
      <c r="Q32">
        <v>1</v>
      </c>
      <c r="R32" t="s">
        <v>33</v>
      </c>
      <c r="S32" t="s">
        <v>34</v>
      </c>
      <c r="T32">
        <v>12</v>
      </c>
      <c r="U32">
        <v>392592960</v>
      </c>
      <c r="V32" t="s">
        <v>58</v>
      </c>
      <c r="W32" s="1">
        <v>44250</v>
      </c>
      <c r="X32" s="1">
        <v>44258</v>
      </c>
      <c r="Y32" s="5">
        <f>IF(Table1[[#This Row],[NPA_Flag]]=1, Table1[[#This Row],[Outstanding_Amount]], 0)</f>
        <v>0</v>
      </c>
      <c r="Z32" s="1">
        <v>46053</v>
      </c>
    </row>
    <row r="33" spans="1:26" x14ac:dyDescent="0.25">
      <c r="A33" t="s">
        <v>128</v>
      </c>
      <c r="B33" t="s">
        <v>60</v>
      </c>
      <c r="C33" t="s">
        <v>78</v>
      </c>
      <c r="D33" t="s">
        <v>52</v>
      </c>
      <c r="E33" t="s">
        <v>53</v>
      </c>
      <c r="F33" t="s">
        <v>54</v>
      </c>
      <c r="G33">
        <v>10253922</v>
      </c>
      <c r="H33">
        <v>8616141</v>
      </c>
      <c r="I33">
        <v>1637781</v>
      </c>
      <c r="J33">
        <v>0.84</v>
      </c>
      <c r="K33">
        <v>10.41</v>
      </c>
      <c r="L33">
        <v>3</v>
      </c>
      <c r="M33" t="s">
        <v>31</v>
      </c>
      <c r="N33">
        <v>0</v>
      </c>
      <c r="O33" t="s">
        <v>32</v>
      </c>
      <c r="P33">
        <v>1</v>
      </c>
      <c r="Q33">
        <v>1</v>
      </c>
      <c r="R33" t="s">
        <v>47</v>
      </c>
      <c r="S33" t="s">
        <v>48</v>
      </c>
      <c r="T33">
        <v>23</v>
      </c>
      <c r="U33">
        <v>387705957</v>
      </c>
      <c r="V33" t="s">
        <v>58</v>
      </c>
      <c r="W33" s="1">
        <v>44276</v>
      </c>
      <c r="X33" s="1">
        <v>44284</v>
      </c>
      <c r="Y33" s="5">
        <f>IF(Table1[[#This Row],[NPA_Flag]]=1, Table1[[#This Row],[Outstanding_Amount]], 0)</f>
        <v>0</v>
      </c>
      <c r="Z33" s="1">
        <v>46053</v>
      </c>
    </row>
    <row r="34" spans="1:26" x14ac:dyDescent="0.25">
      <c r="A34" t="s">
        <v>129</v>
      </c>
      <c r="B34" t="s">
        <v>130</v>
      </c>
      <c r="C34" t="s">
        <v>27</v>
      </c>
      <c r="D34" t="s">
        <v>28</v>
      </c>
      <c r="E34" t="s">
        <v>40</v>
      </c>
      <c r="F34" t="s">
        <v>46</v>
      </c>
      <c r="G34">
        <v>14643502</v>
      </c>
      <c r="H34">
        <v>8999889</v>
      </c>
      <c r="I34">
        <v>5643613</v>
      </c>
      <c r="J34">
        <v>0.61</v>
      </c>
      <c r="K34">
        <v>12.56</v>
      </c>
      <c r="L34">
        <v>27</v>
      </c>
      <c r="M34" t="s">
        <v>31</v>
      </c>
      <c r="N34">
        <v>0</v>
      </c>
      <c r="O34" t="s">
        <v>32</v>
      </c>
      <c r="P34">
        <v>0</v>
      </c>
      <c r="Q34">
        <v>3</v>
      </c>
      <c r="R34" t="s">
        <v>91</v>
      </c>
      <c r="S34" t="s">
        <v>48</v>
      </c>
      <c r="T34">
        <v>12</v>
      </c>
      <c r="U34">
        <v>445431808</v>
      </c>
      <c r="V34" t="s">
        <v>49</v>
      </c>
      <c r="W34" s="1">
        <v>44818</v>
      </c>
      <c r="X34" s="1">
        <v>44825</v>
      </c>
      <c r="Y34" s="5">
        <f>IF(Table1[[#This Row],[NPA_Flag]]=1, Table1[[#This Row],[Outstanding_Amount]], 0)</f>
        <v>0</v>
      </c>
      <c r="Z34" s="1">
        <v>46053</v>
      </c>
    </row>
    <row r="35" spans="1:26" x14ac:dyDescent="0.25">
      <c r="A35" t="s">
        <v>131</v>
      </c>
      <c r="B35" t="s">
        <v>132</v>
      </c>
      <c r="C35" t="s">
        <v>27</v>
      </c>
      <c r="D35" t="s">
        <v>39</v>
      </c>
      <c r="E35" t="s">
        <v>102</v>
      </c>
      <c r="F35" t="s">
        <v>54</v>
      </c>
      <c r="G35">
        <v>6865631</v>
      </c>
      <c r="H35">
        <v>5611322</v>
      </c>
      <c r="I35">
        <v>1254309</v>
      </c>
      <c r="J35">
        <v>0.82</v>
      </c>
      <c r="K35">
        <v>11.13</v>
      </c>
      <c r="L35">
        <v>93</v>
      </c>
      <c r="M35" t="s">
        <v>69</v>
      </c>
      <c r="N35">
        <v>1</v>
      </c>
      <c r="O35" t="s">
        <v>70</v>
      </c>
      <c r="P35">
        <v>1</v>
      </c>
      <c r="Q35">
        <v>3</v>
      </c>
      <c r="R35" t="s">
        <v>91</v>
      </c>
      <c r="S35" t="s">
        <v>34</v>
      </c>
      <c r="T35">
        <v>19</v>
      </c>
      <c r="U35">
        <v>408624164</v>
      </c>
      <c r="V35" t="s">
        <v>35</v>
      </c>
      <c r="W35" s="1">
        <v>44139</v>
      </c>
      <c r="X35" s="1">
        <v>44144</v>
      </c>
      <c r="Y35" s="5">
        <f>IF(Table1[[#This Row],[NPA_Flag]]=1, Table1[[#This Row],[Outstanding_Amount]], 0)</f>
        <v>5611322</v>
      </c>
      <c r="Z35" s="1">
        <v>46053</v>
      </c>
    </row>
    <row r="36" spans="1:26" x14ac:dyDescent="0.25">
      <c r="A36" t="s">
        <v>133</v>
      </c>
      <c r="B36" t="s">
        <v>134</v>
      </c>
      <c r="C36" t="s">
        <v>38</v>
      </c>
      <c r="D36" t="s">
        <v>39</v>
      </c>
      <c r="E36" t="s">
        <v>73</v>
      </c>
      <c r="F36" t="s">
        <v>54</v>
      </c>
      <c r="G36">
        <v>4547851</v>
      </c>
      <c r="H36">
        <v>3874101</v>
      </c>
      <c r="I36">
        <v>673750</v>
      </c>
      <c r="J36">
        <v>0.85</v>
      </c>
      <c r="K36">
        <v>13.33</v>
      </c>
      <c r="L36">
        <v>0</v>
      </c>
      <c r="M36" t="s">
        <v>31</v>
      </c>
      <c r="N36">
        <v>0</v>
      </c>
      <c r="O36" t="s">
        <v>32</v>
      </c>
      <c r="P36">
        <v>0</v>
      </c>
      <c r="Q36">
        <v>2</v>
      </c>
      <c r="R36" t="s">
        <v>33</v>
      </c>
      <c r="S36" t="s">
        <v>48</v>
      </c>
      <c r="T36">
        <v>12</v>
      </c>
      <c r="U36">
        <v>137831062</v>
      </c>
      <c r="V36" t="s">
        <v>49</v>
      </c>
      <c r="W36" s="1">
        <v>44519</v>
      </c>
      <c r="X36" s="1">
        <v>44526</v>
      </c>
      <c r="Y36" s="5">
        <f>IF(Table1[[#This Row],[NPA_Flag]]=1, Table1[[#This Row],[Outstanding_Amount]], 0)</f>
        <v>0</v>
      </c>
      <c r="Z36" s="1">
        <v>46053</v>
      </c>
    </row>
    <row r="37" spans="1:26" x14ac:dyDescent="0.25">
      <c r="A37" t="s">
        <v>135</v>
      </c>
      <c r="B37" t="s">
        <v>136</v>
      </c>
      <c r="C37" t="s">
        <v>38</v>
      </c>
      <c r="D37" t="s">
        <v>61</v>
      </c>
      <c r="E37" t="s">
        <v>53</v>
      </c>
      <c r="F37" t="s">
        <v>30</v>
      </c>
      <c r="G37">
        <v>10405731</v>
      </c>
      <c r="H37">
        <v>9193121</v>
      </c>
      <c r="I37">
        <v>1212610</v>
      </c>
      <c r="J37">
        <v>0.88</v>
      </c>
      <c r="K37">
        <v>9.06</v>
      </c>
      <c r="L37">
        <v>5</v>
      </c>
      <c r="M37" t="s">
        <v>31</v>
      </c>
      <c r="N37">
        <v>0</v>
      </c>
      <c r="O37" t="s">
        <v>32</v>
      </c>
      <c r="P37">
        <v>0</v>
      </c>
      <c r="Q37">
        <v>3</v>
      </c>
      <c r="R37" t="s">
        <v>47</v>
      </c>
      <c r="S37" t="s">
        <v>57</v>
      </c>
      <c r="T37">
        <v>21</v>
      </c>
      <c r="U37">
        <v>207761226</v>
      </c>
      <c r="V37" t="s">
        <v>35</v>
      </c>
      <c r="W37" s="1">
        <v>45233</v>
      </c>
      <c r="X37" s="1">
        <v>45239</v>
      </c>
      <c r="Y37" s="5">
        <f>IF(Table1[[#This Row],[NPA_Flag]]=1, Table1[[#This Row],[Outstanding_Amount]], 0)</f>
        <v>0</v>
      </c>
      <c r="Z37" s="1">
        <v>46053</v>
      </c>
    </row>
    <row r="38" spans="1:26" x14ac:dyDescent="0.25">
      <c r="A38" t="s">
        <v>137</v>
      </c>
      <c r="B38" t="s">
        <v>138</v>
      </c>
      <c r="C38" t="s">
        <v>78</v>
      </c>
      <c r="D38" t="s">
        <v>61</v>
      </c>
      <c r="E38" t="s">
        <v>102</v>
      </c>
      <c r="F38" t="s">
        <v>30</v>
      </c>
      <c r="G38">
        <v>7599500</v>
      </c>
      <c r="H38">
        <v>5877816</v>
      </c>
      <c r="I38">
        <v>1721684</v>
      </c>
      <c r="J38">
        <v>0.77</v>
      </c>
      <c r="K38">
        <v>10.42</v>
      </c>
      <c r="L38">
        <v>19</v>
      </c>
      <c r="M38" t="s">
        <v>31</v>
      </c>
      <c r="N38">
        <v>0</v>
      </c>
      <c r="O38" t="s">
        <v>32</v>
      </c>
      <c r="P38">
        <v>1</v>
      </c>
      <c r="Q38">
        <v>2</v>
      </c>
      <c r="R38" t="s">
        <v>33</v>
      </c>
      <c r="S38" t="s">
        <v>57</v>
      </c>
      <c r="T38">
        <v>4</v>
      </c>
      <c r="U38">
        <v>218743023</v>
      </c>
      <c r="V38" t="s">
        <v>58</v>
      </c>
      <c r="W38" s="1">
        <v>44380</v>
      </c>
      <c r="X38" s="1">
        <v>44387</v>
      </c>
      <c r="Y38" s="5">
        <f>IF(Table1[[#This Row],[NPA_Flag]]=1, Table1[[#This Row],[Outstanding_Amount]], 0)</f>
        <v>0</v>
      </c>
      <c r="Z38" s="1">
        <v>46053</v>
      </c>
    </row>
    <row r="39" spans="1:26" x14ac:dyDescent="0.25">
      <c r="A39" t="s">
        <v>139</v>
      </c>
      <c r="B39" t="s">
        <v>140</v>
      </c>
      <c r="C39" t="s">
        <v>78</v>
      </c>
      <c r="D39" t="s">
        <v>52</v>
      </c>
      <c r="E39" t="s">
        <v>97</v>
      </c>
      <c r="F39" t="s">
        <v>30</v>
      </c>
      <c r="G39">
        <v>10133439</v>
      </c>
      <c r="H39">
        <v>9084979</v>
      </c>
      <c r="I39">
        <v>1048460</v>
      </c>
      <c r="J39">
        <v>0.9</v>
      </c>
      <c r="K39">
        <v>10.199999999999999</v>
      </c>
      <c r="L39">
        <v>14</v>
      </c>
      <c r="M39" t="s">
        <v>31</v>
      </c>
      <c r="N39">
        <v>0</v>
      </c>
      <c r="O39" t="s">
        <v>32</v>
      </c>
      <c r="P39">
        <v>0</v>
      </c>
      <c r="Q39">
        <v>0</v>
      </c>
      <c r="R39" t="s">
        <v>33</v>
      </c>
      <c r="S39" t="s">
        <v>57</v>
      </c>
      <c r="T39">
        <v>22</v>
      </c>
      <c r="U39">
        <v>142090169</v>
      </c>
      <c r="V39" t="s">
        <v>65</v>
      </c>
      <c r="W39" s="1">
        <v>45011</v>
      </c>
      <c r="X39" s="1">
        <v>45016</v>
      </c>
      <c r="Y39" s="5">
        <f>IF(Table1[[#This Row],[NPA_Flag]]=1, Table1[[#This Row],[Outstanding_Amount]], 0)</f>
        <v>0</v>
      </c>
      <c r="Z39" s="1">
        <v>46053</v>
      </c>
    </row>
    <row r="40" spans="1:26" x14ac:dyDescent="0.25">
      <c r="A40" t="s">
        <v>141</v>
      </c>
      <c r="B40" t="s">
        <v>142</v>
      </c>
      <c r="C40" t="s">
        <v>27</v>
      </c>
      <c r="D40" t="s">
        <v>28</v>
      </c>
      <c r="E40" t="s">
        <v>85</v>
      </c>
      <c r="F40" t="s">
        <v>30</v>
      </c>
      <c r="G40">
        <v>11311625</v>
      </c>
      <c r="H40">
        <v>9698956</v>
      </c>
      <c r="I40">
        <v>1612669</v>
      </c>
      <c r="J40">
        <v>0.86</v>
      </c>
      <c r="K40">
        <v>13.49</v>
      </c>
      <c r="L40">
        <v>57</v>
      </c>
      <c r="M40" t="s">
        <v>55</v>
      </c>
      <c r="N40">
        <v>0</v>
      </c>
      <c r="O40" t="s">
        <v>56</v>
      </c>
      <c r="P40">
        <v>0</v>
      </c>
      <c r="Q40">
        <v>2</v>
      </c>
      <c r="R40" t="s">
        <v>47</v>
      </c>
      <c r="S40" t="s">
        <v>79</v>
      </c>
      <c r="T40">
        <v>10</v>
      </c>
      <c r="U40">
        <v>311595473</v>
      </c>
      <c r="V40" t="s">
        <v>65</v>
      </c>
      <c r="W40" s="1">
        <v>43895</v>
      </c>
      <c r="X40" s="1">
        <v>43898</v>
      </c>
      <c r="Y40" s="5">
        <f>IF(Table1[[#This Row],[NPA_Flag]]=1, Table1[[#This Row],[Outstanding_Amount]], 0)</f>
        <v>0</v>
      </c>
      <c r="Z40" s="1">
        <v>46053</v>
      </c>
    </row>
    <row r="41" spans="1:26" x14ac:dyDescent="0.25">
      <c r="A41" t="s">
        <v>143</v>
      </c>
      <c r="B41" t="s">
        <v>134</v>
      </c>
      <c r="C41" t="s">
        <v>78</v>
      </c>
      <c r="D41" t="s">
        <v>39</v>
      </c>
      <c r="E41" t="s">
        <v>53</v>
      </c>
      <c r="F41" t="s">
        <v>46</v>
      </c>
      <c r="G41">
        <v>13888713</v>
      </c>
      <c r="H41">
        <v>11313364</v>
      </c>
      <c r="I41">
        <v>2575349</v>
      </c>
      <c r="J41">
        <v>0.81</v>
      </c>
      <c r="K41">
        <v>13.3</v>
      </c>
      <c r="L41">
        <v>8</v>
      </c>
      <c r="M41" t="s">
        <v>31</v>
      </c>
      <c r="N41">
        <v>0</v>
      </c>
      <c r="O41" t="s">
        <v>32</v>
      </c>
      <c r="P41">
        <v>1</v>
      </c>
      <c r="Q41">
        <v>0</v>
      </c>
      <c r="R41" t="s">
        <v>91</v>
      </c>
      <c r="S41" t="s">
        <v>57</v>
      </c>
      <c r="T41">
        <v>8</v>
      </c>
      <c r="U41">
        <v>279932587</v>
      </c>
      <c r="V41" t="s">
        <v>58</v>
      </c>
      <c r="W41" s="1">
        <v>44356</v>
      </c>
      <c r="X41" s="1">
        <v>44364</v>
      </c>
      <c r="Y41" s="5">
        <f>IF(Table1[[#This Row],[NPA_Flag]]=1, Table1[[#This Row],[Outstanding_Amount]], 0)</f>
        <v>0</v>
      </c>
      <c r="Z41" s="1">
        <v>46053</v>
      </c>
    </row>
    <row r="42" spans="1:26" x14ac:dyDescent="0.25">
      <c r="A42" t="s">
        <v>144</v>
      </c>
      <c r="B42" t="s">
        <v>145</v>
      </c>
      <c r="C42" t="s">
        <v>78</v>
      </c>
      <c r="D42" t="s">
        <v>61</v>
      </c>
      <c r="E42" t="s">
        <v>29</v>
      </c>
      <c r="F42" t="s">
        <v>46</v>
      </c>
      <c r="G42">
        <v>10071301</v>
      </c>
      <c r="H42">
        <v>7395227</v>
      </c>
      <c r="I42">
        <v>2676074</v>
      </c>
      <c r="J42">
        <v>0.73</v>
      </c>
      <c r="K42">
        <v>12.06</v>
      </c>
      <c r="L42">
        <v>22</v>
      </c>
      <c r="M42" t="s">
        <v>31</v>
      </c>
      <c r="N42">
        <v>0</v>
      </c>
      <c r="O42" t="s">
        <v>32</v>
      </c>
      <c r="P42">
        <v>0</v>
      </c>
      <c r="Q42">
        <v>0</v>
      </c>
      <c r="R42" t="s">
        <v>91</v>
      </c>
      <c r="S42" t="s">
        <v>57</v>
      </c>
      <c r="T42">
        <v>7</v>
      </c>
      <c r="U42">
        <v>416538035</v>
      </c>
      <c r="V42" t="s">
        <v>35</v>
      </c>
      <c r="W42" s="1">
        <v>44693</v>
      </c>
      <c r="X42" s="1">
        <v>44697</v>
      </c>
      <c r="Y42" s="5">
        <f>IF(Table1[[#This Row],[NPA_Flag]]=1, Table1[[#This Row],[Outstanding_Amount]], 0)</f>
        <v>0</v>
      </c>
      <c r="Z42" s="1">
        <v>46053</v>
      </c>
    </row>
    <row r="43" spans="1:26" x14ac:dyDescent="0.25">
      <c r="A43" t="s">
        <v>146</v>
      </c>
      <c r="B43" t="s">
        <v>147</v>
      </c>
      <c r="C43" t="s">
        <v>27</v>
      </c>
      <c r="D43" t="s">
        <v>39</v>
      </c>
      <c r="E43" t="s">
        <v>53</v>
      </c>
      <c r="F43" t="s">
        <v>30</v>
      </c>
      <c r="G43">
        <v>9200177</v>
      </c>
      <c r="H43">
        <v>6312507</v>
      </c>
      <c r="I43">
        <v>2887670</v>
      </c>
      <c r="J43">
        <v>0.69</v>
      </c>
      <c r="K43">
        <v>13</v>
      </c>
      <c r="L43">
        <v>6</v>
      </c>
      <c r="M43" t="s">
        <v>31</v>
      </c>
      <c r="N43">
        <v>0</v>
      </c>
      <c r="O43" t="s">
        <v>32</v>
      </c>
      <c r="P43">
        <v>1</v>
      </c>
      <c r="Q43">
        <v>2</v>
      </c>
      <c r="R43" t="s">
        <v>41</v>
      </c>
      <c r="S43" t="s">
        <v>79</v>
      </c>
      <c r="T43">
        <v>18</v>
      </c>
      <c r="U43">
        <v>196329533</v>
      </c>
      <c r="V43" t="s">
        <v>49</v>
      </c>
      <c r="W43" s="1">
        <v>44033</v>
      </c>
      <c r="X43" s="1">
        <v>44041</v>
      </c>
      <c r="Y43" s="5">
        <f>IF(Table1[[#This Row],[NPA_Flag]]=1, Table1[[#This Row],[Outstanding_Amount]], 0)</f>
        <v>0</v>
      </c>
      <c r="Z43" s="1">
        <v>46053</v>
      </c>
    </row>
    <row r="44" spans="1:26" x14ac:dyDescent="0.25">
      <c r="A44" t="s">
        <v>148</v>
      </c>
      <c r="B44" t="s">
        <v>149</v>
      </c>
      <c r="C44" t="s">
        <v>78</v>
      </c>
      <c r="D44" t="s">
        <v>61</v>
      </c>
      <c r="E44" t="s">
        <v>73</v>
      </c>
      <c r="F44" t="s">
        <v>30</v>
      </c>
      <c r="G44">
        <v>7503797</v>
      </c>
      <c r="H44">
        <v>4937706</v>
      </c>
      <c r="I44">
        <v>2566091</v>
      </c>
      <c r="J44">
        <v>0.66</v>
      </c>
      <c r="K44">
        <v>11.02</v>
      </c>
      <c r="L44">
        <v>19</v>
      </c>
      <c r="M44" t="s">
        <v>31</v>
      </c>
      <c r="N44">
        <v>0</v>
      </c>
      <c r="O44" t="s">
        <v>32</v>
      </c>
      <c r="P44">
        <v>0</v>
      </c>
      <c r="Q44">
        <v>1</v>
      </c>
      <c r="R44" t="s">
        <v>33</v>
      </c>
      <c r="S44" t="s">
        <v>57</v>
      </c>
      <c r="T44">
        <v>3</v>
      </c>
      <c r="U44">
        <v>124403230</v>
      </c>
      <c r="V44" t="s">
        <v>49</v>
      </c>
      <c r="W44" s="1">
        <v>44338</v>
      </c>
      <c r="X44" s="1">
        <v>44348</v>
      </c>
      <c r="Y44" s="5">
        <f>IF(Table1[[#This Row],[NPA_Flag]]=1, Table1[[#This Row],[Outstanding_Amount]], 0)</f>
        <v>0</v>
      </c>
      <c r="Z44" s="1">
        <v>46053</v>
      </c>
    </row>
    <row r="45" spans="1:26" x14ac:dyDescent="0.25">
      <c r="A45" t="s">
        <v>150</v>
      </c>
      <c r="B45" t="s">
        <v>151</v>
      </c>
      <c r="C45" t="s">
        <v>27</v>
      </c>
      <c r="D45" t="s">
        <v>28</v>
      </c>
      <c r="E45" t="s">
        <v>40</v>
      </c>
      <c r="F45" t="s">
        <v>30</v>
      </c>
      <c r="G45">
        <v>2952647</v>
      </c>
      <c r="H45">
        <v>2016474</v>
      </c>
      <c r="I45">
        <v>936173</v>
      </c>
      <c r="J45">
        <v>0.68</v>
      </c>
      <c r="K45">
        <v>12.19</v>
      </c>
      <c r="L45">
        <v>13</v>
      </c>
      <c r="M45" t="s">
        <v>31</v>
      </c>
      <c r="N45">
        <v>0</v>
      </c>
      <c r="O45" t="s">
        <v>32</v>
      </c>
      <c r="P45">
        <v>0</v>
      </c>
      <c r="Q45">
        <v>2</v>
      </c>
      <c r="R45" t="s">
        <v>47</v>
      </c>
      <c r="S45" t="s">
        <v>34</v>
      </c>
      <c r="T45">
        <v>21</v>
      </c>
      <c r="U45">
        <v>6663423</v>
      </c>
      <c r="V45" t="s">
        <v>35</v>
      </c>
      <c r="W45" s="1">
        <v>45205</v>
      </c>
      <c r="X45" s="1">
        <v>45213</v>
      </c>
      <c r="Y45" s="5">
        <f>IF(Table1[[#This Row],[NPA_Flag]]=1, Table1[[#This Row],[Outstanding_Amount]], 0)</f>
        <v>0</v>
      </c>
      <c r="Z45" s="1">
        <v>46053</v>
      </c>
    </row>
    <row r="46" spans="1:26" x14ac:dyDescent="0.25">
      <c r="A46" t="s">
        <v>152</v>
      </c>
      <c r="B46" t="s">
        <v>153</v>
      </c>
      <c r="C46" t="s">
        <v>38</v>
      </c>
      <c r="D46" t="s">
        <v>61</v>
      </c>
      <c r="E46" t="s">
        <v>85</v>
      </c>
      <c r="F46" t="s">
        <v>54</v>
      </c>
      <c r="G46">
        <v>4114459</v>
      </c>
      <c r="H46">
        <v>3111936</v>
      </c>
      <c r="I46">
        <v>1002523</v>
      </c>
      <c r="J46">
        <v>0.76</v>
      </c>
      <c r="K46">
        <v>10.36</v>
      </c>
      <c r="L46">
        <v>21</v>
      </c>
      <c r="M46" t="s">
        <v>31</v>
      </c>
      <c r="N46">
        <v>0</v>
      </c>
      <c r="O46" t="s">
        <v>32</v>
      </c>
      <c r="P46">
        <v>0</v>
      </c>
      <c r="Q46">
        <v>4</v>
      </c>
      <c r="R46" t="s">
        <v>47</v>
      </c>
      <c r="S46" t="s">
        <v>79</v>
      </c>
      <c r="T46">
        <v>24</v>
      </c>
      <c r="U46">
        <v>429222931</v>
      </c>
      <c r="V46" t="s">
        <v>49</v>
      </c>
      <c r="W46" s="1">
        <v>44050</v>
      </c>
      <c r="X46" s="1">
        <v>44058</v>
      </c>
      <c r="Y46" s="5">
        <f>IF(Table1[[#This Row],[NPA_Flag]]=1, Table1[[#This Row],[Outstanding_Amount]], 0)</f>
        <v>0</v>
      </c>
      <c r="Z46" s="1">
        <v>46053</v>
      </c>
    </row>
    <row r="47" spans="1:26" x14ac:dyDescent="0.25">
      <c r="A47" t="s">
        <v>154</v>
      </c>
      <c r="B47" t="s">
        <v>155</v>
      </c>
      <c r="C47" t="s">
        <v>38</v>
      </c>
      <c r="D47" t="s">
        <v>61</v>
      </c>
      <c r="E47" t="s">
        <v>53</v>
      </c>
      <c r="F47" t="s">
        <v>30</v>
      </c>
      <c r="G47">
        <v>9937419</v>
      </c>
      <c r="H47">
        <v>6698127</v>
      </c>
      <c r="I47">
        <v>3239292</v>
      </c>
      <c r="J47">
        <v>0.67</v>
      </c>
      <c r="K47">
        <v>13.06</v>
      </c>
      <c r="L47">
        <v>21</v>
      </c>
      <c r="M47" t="s">
        <v>31</v>
      </c>
      <c r="N47">
        <v>0</v>
      </c>
      <c r="O47" t="s">
        <v>32</v>
      </c>
      <c r="P47">
        <v>1</v>
      </c>
      <c r="Q47">
        <v>0</v>
      </c>
      <c r="R47" t="s">
        <v>47</v>
      </c>
      <c r="S47" t="s">
        <v>79</v>
      </c>
      <c r="T47">
        <v>20</v>
      </c>
      <c r="U47">
        <v>92676830</v>
      </c>
      <c r="V47" t="s">
        <v>58</v>
      </c>
      <c r="W47" s="1">
        <v>44148</v>
      </c>
      <c r="X47" s="1">
        <v>44156</v>
      </c>
      <c r="Y47" s="5">
        <f>IF(Table1[[#This Row],[NPA_Flag]]=1, Table1[[#This Row],[Outstanding_Amount]], 0)</f>
        <v>0</v>
      </c>
      <c r="Z47" s="1">
        <v>46053</v>
      </c>
    </row>
    <row r="48" spans="1:26" x14ac:dyDescent="0.25">
      <c r="A48" t="s">
        <v>156</v>
      </c>
      <c r="B48" t="s">
        <v>157</v>
      </c>
      <c r="C48" t="s">
        <v>78</v>
      </c>
      <c r="D48" t="s">
        <v>28</v>
      </c>
      <c r="E48" t="s">
        <v>94</v>
      </c>
      <c r="F48" t="s">
        <v>54</v>
      </c>
      <c r="G48">
        <v>2536902</v>
      </c>
      <c r="H48">
        <v>1599007</v>
      </c>
      <c r="I48">
        <v>937895</v>
      </c>
      <c r="J48">
        <v>0.63</v>
      </c>
      <c r="K48">
        <v>14.33</v>
      </c>
      <c r="L48">
        <v>6</v>
      </c>
      <c r="M48" t="s">
        <v>31</v>
      </c>
      <c r="N48">
        <v>0</v>
      </c>
      <c r="O48" t="s">
        <v>32</v>
      </c>
      <c r="P48">
        <v>1</v>
      </c>
      <c r="Q48">
        <v>1</v>
      </c>
      <c r="R48" t="s">
        <v>41</v>
      </c>
      <c r="S48" t="s">
        <v>57</v>
      </c>
      <c r="T48">
        <v>22</v>
      </c>
      <c r="U48">
        <v>414639349</v>
      </c>
      <c r="V48" t="s">
        <v>35</v>
      </c>
      <c r="W48" s="1">
        <v>44047</v>
      </c>
      <c r="X48" s="1">
        <v>44053</v>
      </c>
      <c r="Y48" s="5">
        <f>IF(Table1[[#This Row],[NPA_Flag]]=1, Table1[[#This Row],[Outstanding_Amount]], 0)</f>
        <v>0</v>
      </c>
      <c r="Z48" s="1">
        <v>46053</v>
      </c>
    </row>
    <row r="49" spans="1:26" x14ac:dyDescent="0.25">
      <c r="A49" t="s">
        <v>158</v>
      </c>
      <c r="B49" t="s">
        <v>142</v>
      </c>
      <c r="C49" t="s">
        <v>38</v>
      </c>
      <c r="D49" t="s">
        <v>61</v>
      </c>
      <c r="E49" t="s">
        <v>40</v>
      </c>
      <c r="F49" t="s">
        <v>54</v>
      </c>
      <c r="G49">
        <v>3583959</v>
      </c>
      <c r="H49">
        <v>2255342</v>
      </c>
      <c r="I49">
        <v>1328617</v>
      </c>
      <c r="J49">
        <v>0.63</v>
      </c>
      <c r="K49">
        <v>14.29</v>
      </c>
      <c r="L49">
        <v>8</v>
      </c>
      <c r="M49" t="s">
        <v>31</v>
      </c>
      <c r="N49">
        <v>0</v>
      </c>
      <c r="O49" t="s">
        <v>32</v>
      </c>
      <c r="P49">
        <v>1</v>
      </c>
      <c r="Q49">
        <v>2</v>
      </c>
      <c r="R49" t="s">
        <v>41</v>
      </c>
      <c r="S49" t="s">
        <v>34</v>
      </c>
      <c r="T49">
        <v>22</v>
      </c>
      <c r="U49">
        <v>303656160</v>
      </c>
      <c r="V49" t="s">
        <v>65</v>
      </c>
      <c r="W49" s="1">
        <v>44092</v>
      </c>
      <c r="X49" s="1">
        <v>44101</v>
      </c>
      <c r="Y49" s="5">
        <f>IF(Table1[[#This Row],[NPA_Flag]]=1, Table1[[#This Row],[Outstanding_Amount]], 0)</f>
        <v>0</v>
      </c>
      <c r="Z49" s="1">
        <v>46053</v>
      </c>
    </row>
    <row r="50" spans="1:26" x14ac:dyDescent="0.25">
      <c r="A50" t="s">
        <v>159</v>
      </c>
      <c r="B50" t="s">
        <v>160</v>
      </c>
      <c r="C50" t="s">
        <v>78</v>
      </c>
      <c r="D50" t="s">
        <v>39</v>
      </c>
      <c r="E50" t="s">
        <v>94</v>
      </c>
      <c r="F50" t="s">
        <v>30</v>
      </c>
      <c r="G50">
        <v>14734880</v>
      </c>
      <c r="H50">
        <v>11325708</v>
      </c>
      <c r="I50">
        <v>3409172</v>
      </c>
      <c r="J50">
        <v>0.77</v>
      </c>
      <c r="K50">
        <v>13.89</v>
      </c>
      <c r="L50">
        <v>19</v>
      </c>
      <c r="M50" t="s">
        <v>31</v>
      </c>
      <c r="N50">
        <v>0</v>
      </c>
      <c r="O50" t="s">
        <v>32</v>
      </c>
      <c r="P50">
        <v>1</v>
      </c>
      <c r="Q50">
        <v>1</v>
      </c>
      <c r="R50" t="s">
        <v>47</v>
      </c>
      <c r="S50" t="s">
        <v>34</v>
      </c>
      <c r="T50">
        <v>13</v>
      </c>
      <c r="U50">
        <v>53343988</v>
      </c>
      <c r="V50" t="s">
        <v>65</v>
      </c>
      <c r="W50" s="1">
        <v>44435</v>
      </c>
      <c r="X50" s="1">
        <v>44439</v>
      </c>
      <c r="Y50" s="5">
        <f>IF(Table1[[#This Row],[NPA_Flag]]=1, Table1[[#This Row],[Outstanding_Amount]], 0)</f>
        <v>0</v>
      </c>
      <c r="Z50" s="1">
        <v>46053</v>
      </c>
    </row>
    <row r="51" spans="1:26" x14ac:dyDescent="0.25">
      <c r="A51" t="s">
        <v>161</v>
      </c>
      <c r="B51" t="s">
        <v>162</v>
      </c>
      <c r="C51" t="s">
        <v>38</v>
      </c>
      <c r="D51" t="s">
        <v>39</v>
      </c>
      <c r="E51" t="s">
        <v>85</v>
      </c>
      <c r="F51" t="s">
        <v>68</v>
      </c>
      <c r="G51">
        <v>12157727</v>
      </c>
      <c r="H51">
        <v>8644319</v>
      </c>
      <c r="I51">
        <v>3513408</v>
      </c>
      <c r="J51">
        <v>0.71</v>
      </c>
      <c r="K51">
        <v>12.55</v>
      </c>
      <c r="L51">
        <v>61</v>
      </c>
      <c r="M51" t="s">
        <v>90</v>
      </c>
      <c r="N51">
        <v>0</v>
      </c>
      <c r="O51" t="s">
        <v>70</v>
      </c>
      <c r="P51">
        <v>0</v>
      </c>
      <c r="Q51">
        <v>4</v>
      </c>
      <c r="R51" t="s">
        <v>33</v>
      </c>
      <c r="S51" t="s">
        <v>79</v>
      </c>
      <c r="T51">
        <v>8</v>
      </c>
      <c r="U51">
        <v>114220244</v>
      </c>
      <c r="V51" t="s">
        <v>58</v>
      </c>
      <c r="W51" s="1">
        <v>44666</v>
      </c>
      <c r="X51" s="1">
        <v>44672</v>
      </c>
      <c r="Y51" s="5">
        <f>IF(Table1[[#This Row],[NPA_Flag]]=1, Table1[[#This Row],[Outstanding_Amount]], 0)</f>
        <v>0</v>
      </c>
      <c r="Z51" s="1">
        <v>46053</v>
      </c>
    </row>
    <row r="52" spans="1:26" x14ac:dyDescent="0.25">
      <c r="A52" t="s">
        <v>163</v>
      </c>
      <c r="B52" t="s">
        <v>164</v>
      </c>
      <c r="C52" t="s">
        <v>27</v>
      </c>
      <c r="D52" t="s">
        <v>61</v>
      </c>
      <c r="E52" t="s">
        <v>45</v>
      </c>
      <c r="F52" t="s">
        <v>46</v>
      </c>
      <c r="G52">
        <v>12936290</v>
      </c>
      <c r="H52">
        <v>12267228</v>
      </c>
      <c r="I52">
        <v>669062</v>
      </c>
      <c r="J52">
        <v>0.95</v>
      </c>
      <c r="K52">
        <v>9.9</v>
      </c>
      <c r="L52">
        <v>1</v>
      </c>
      <c r="M52" t="s">
        <v>31</v>
      </c>
      <c r="N52">
        <v>0</v>
      </c>
      <c r="O52" t="s">
        <v>32</v>
      </c>
      <c r="P52">
        <v>0</v>
      </c>
      <c r="Q52">
        <v>1</v>
      </c>
      <c r="R52" t="s">
        <v>47</v>
      </c>
      <c r="S52" t="s">
        <v>79</v>
      </c>
      <c r="T52">
        <v>7</v>
      </c>
      <c r="U52">
        <v>376979408</v>
      </c>
      <c r="V52" t="s">
        <v>58</v>
      </c>
      <c r="W52" s="1">
        <v>45009</v>
      </c>
      <c r="X52" s="1">
        <v>45012</v>
      </c>
      <c r="Y52" s="5">
        <f>IF(Table1[[#This Row],[NPA_Flag]]=1, Table1[[#This Row],[Outstanding_Amount]], 0)</f>
        <v>0</v>
      </c>
      <c r="Z52" s="1">
        <v>46053</v>
      </c>
    </row>
    <row r="53" spans="1:26" x14ac:dyDescent="0.25">
      <c r="A53" t="s">
        <v>165</v>
      </c>
      <c r="B53" t="s">
        <v>166</v>
      </c>
      <c r="C53" t="s">
        <v>44</v>
      </c>
      <c r="D53" t="s">
        <v>28</v>
      </c>
      <c r="E53" t="s">
        <v>97</v>
      </c>
      <c r="F53" t="s">
        <v>30</v>
      </c>
      <c r="G53">
        <v>5222869</v>
      </c>
      <c r="H53">
        <v>4247230</v>
      </c>
      <c r="I53">
        <v>975639</v>
      </c>
      <c r="J53">
        <v>0.81</v>
      </c>
      <c r="K53">
        <v>12.45</v>
      </c>
      <c r="L53">
        <v>25</v>
      </c>
      <c r="M53" t="s">
        <v>31</v>
      </c>
      <c r="N53">
        <v>0</v>
      </c>
      <c r="O53" t="s">
        <v>32</v>
      </c>
      <c r="P53">
        <v>0</v>
      </c>
      <c r="Q53">
        <v>4</v>
      </c>
      <c r="R53" t="s">
        <v>47</v>
      </c>
      <c r="S53" t="s">
        <v>57</v>
      </c>
      <c r="T53">
        <v>7</v>
      </c>
      <c r="U53">
        <v>247314444</v>
      </c>
      <c r="V53" t="s">
        <v>58</v>
      </c>
      <c r="W53" s="1">
        <v>44493</v>
      </c>
      <c r="X53" s="1">
        <v>44498</v>
      </c>
      <c r="Y53" s="5">
        <f>IF(Table1[[#This Row],[NPA_Flag]]=1, Table1[[#This Row],[Outstanding_Amount]], 0)</f>
        <v>0</v>
      </c>
      <c r="Z53" s="1">
        <v>46053</v>
      </c>
    </row>
    <row r="54" spans="1:26" x14ac:dyDescent="0.25">
      <c r="A54" t="s">
        <v>167</v>
      </c>
      <c r="B54" t="s">
        <v>168</v>
      </c>
      <c r="C54" t="s">
        <v>78</v>
      </c>
      <c r="D54" t="s">
        <v>28</v>
      </c>
      <c r="E54" t="s">
        <v>40</v>
      </c>
      <c r="F54" t="s">
        <v>30</v>
      </c>
      <c r="G54">
        <v>8025305</v>
      </c>
      <c r="H54">
        <v>6879796</v>
      </c>
      <c r="I54">
        <v>1145509</v>
      </c>
      <c r="J54">
        <v>0.86</v>
      </c>
      <c r="K54">
        <v>12.78</v>
      </c>
      <c r="L54">
        <v>12</v>
      </c>
      <c r="M54" t="s">
        <v>31</v>
      </c>
      <c r="N54">
        <v>0</v>
      </c>
      <c r="O54" t="s">
        <v>32</v>
      </c>
      <c r="P54">
        <v>1</v>
      </c>
      <c r="Q54">
        <v>2</v>
      </c>
      <c r="R54" t="s">
        <v>41</v>
      </c>
      <c r="S54" t="s">
        <v>48</v>
      </c>
      <c r="T54">
        <v>3</v>
      </c>
      <c r="U54">
        <v>193458477</v>
      </c>
      <c r="V54" t="s">
        <v>35</v>
      </c>
      <c r="W54" s="1">
        <v>45081</v>
      </c>
      <c r="X54" s="1">
        <v>45089</v>
      </c>
      <c r="Y54" s="5">
        <f>IF(Table1[[#This Row],[NPA_Flag]]=1, Table1[[#This Row],[Outstanding_Amount]], 0)</f>
        <v>0</v>
      </c>
      <c r="Z54" s="1">
        <v>46053</v>
      </c>
    </row>
    <row r="55" spans="1:26" x14ac:dyDescent="0.25">
      <c r="A55" t="s">
        <v>169</v>
      </c>
      <c r="B55" t="s">
        <v>75</v>
      </c>
      <c r="C55" t="s">
        <v>78</v>
      </c>
      <c r="D55" t="s">
        <v>61</v>
      </c>
      <c r="E55" t="s">
        <v>45</v>
      </c>
      <c r="F55" t="s">
        <v>54</v>
      </c>
      <c r="G55">
        <v>7008359</v>
      </c>
      <c r="H55">
        <v>5192798</v>
      </c>
      <c r="I55">
        <v>1815561</v>
      </c>
      <c r="J55">
        <v>0.74</v>
      </c>
      <c r="K55">
        <v>11.87</v>
      </c>
      <c r="L55">
        <v>17</v>
      </c>
      <c r="M55" t="s">
        <v>31</v>
      </c>
      <c r="N55">
        <v>0</v>
      </c>
      <c r="O55" t="s">
        <v>32</v>
      </c>
      <c r="P55">
        <v>1</v>
      </c>
      <c r="Q55">
        <v>5</v>
      </c>
      <c r="R55" t="s">
        <v>91</v>
      </c>
      <c r="S55" t="s">
        <v>64</v>
      </c>
      <c r="T55">
        <v>4</v>
      </c>
      <c r="U55">
        <v>229717324</v>
      </c>
      <c r="V55" t="s">
        <v>58</v>
      </c>
      <c r="W55" s="1">
        <v>44445</v>
      </c>
      <c r="X55" s="1">
        <v>44447</v>
      </c>
      <c r="Y55" s="5">
        <f>IF(Table1[[#This Row],[NPA_Flag]]=1, Table1[[#This Row],[Outstanding_Amount]], 0)</f>
        <v>0</v>
      </c>
      <c r="Z55" s="1">
        <v>46053</v>
      </c>
    </row>
    <row r="56" spans="1:26" x14ac:dyDescent="0.25">
      <c r="A56" t="s">
        <v>170</v>
      </c>
      <c r="B56" t="s">
        <v>171</v>
      </c>
      <c r="C56" t="s">
        <v>27</v>
      </c>
      <c r="D56" t="s">
        <v>61</v>
      </c>
      <c r="E56" t="s">
        <v>53</v>
      </c>
      <c r="F56" t="s">
        <v>30</v>
      </c>
      <c r="G56">
        <v>14014751</v>
      </c>
      <c r="H56">
        <v>10029689</v>
      </c>
      <c r="I56">
        <v>3985062</v>
      </c>
      <c r="J56">
        <v>0.72</v>
      </c>
      <c r="K56">
        <v>11.81</v>
      </c>
      <c r="L56">
        <v>5</v>
      </c>
      <c r="M56" t="s">
        <v>31</v>
      </c>
      <c r="N56">
        <v>0</v>
      </c>
      <c r="O56" t="s">
        <v>32</v>
      </c>
      <c r="P56">
        <v>0</v>
      </c>
      <c r="Q56">
        <v>4</v>
      </c>
      <c r="R56" t="s">
        <v>41</v>
      </c>
      <c r="S56" t="s">
        <v>64</v>
      </c>
      <c r="T56">
        <v>23</v>
      </c>
      <c r="U56">
        <v>69097794</v>
      </c>
      <c r="V56" t="s">
        <v>49</v>
      </c>
      <c r="W56" s="1">
        <v>44145</v>
      </c>
      <c r="X56" s="1">
        <v>44150</v>
      </c>
      <c r="Y56" s="5">
        <f>IF(Table1[[#This Row],[NPA_Flag]]=1, Table1[[#This Row],[Outstanding_Amount]], 0)</f>
        <v>0</v>
      </c>
      <c r="Z56" s="1">
        <v>46053</v>
      </c>
    </row>
    <row r="57" spans="1:26" x14ac:dyDescent="0.25">
      <c r="A57" t="s">
        <v>172</v>
      </c>
      <c r="B57" t="s">
        <v>151</v>
      </c>
      <c r="C57" t="s">
        <v>27</v>
      </c>
      <c r="D57" t="s">
        <v>28</v>
      </c>
      <c r="E57" t="s">
        <v>45</v>
      </c>
      <c r="F57" t="s">
        <v>46</v>
      </c>
      <c r="G57">
        <v>4710015</v>
      </c>
      <c r="H57">
        <v>4299367</v>
      </c>
      <c r="I57">
        <v>410648</v>
      </c>
      <c r="J57">
        <v>0.91</v>
      </c>
      <c r="K57">
        <v>11.17</v>
      </c>
      <c r="L57">
        <v>64</v>
      </c>
      <c r="M57" t="s">
        <v>90</v>
      </c>
      <c r="N57">
        <v>0</v>
      </c>
      <c r="O57" t="s">
        <v>70</v>
      </c>
      <c r="P57">
        <v>0</v>
      </c>
      <c r="Q57">
        <v>3</v>
      </c>
      <c r="R57" t="s">
        <v>91</v>
      </c>
      <c r="S57" t="s">
        <v>34</v>
      </c>
      <c r="T57">
        <v>18</v>
      </c>
      <c r="U57">
        <v>252780130</v>
      </c>
      <c r="V57" t="s">
        <v>65</v>
      </c>
      <c r="W57" s="1">
        <v>44140</v>
      </c>
      <c r="X57" s="1">
        <v>44142</v>
      </c>
      <c r="Y57" s="5">
        <f>IF(Table1[[#This Row],[NPA_Flag]]=1, Table1[[#This Row],[Outstanding_Amount]], 0)</f>
        <v>0</v>
      </c>
      <c r="Z57" s="1">
        <v>46053</v>
      </c>
    </row>
    <row r="58" spans="1:26" x14ac:dyDescent="0.25">
      <c r="A58" t="s">
        <v>173</v>
      </c>
      <c r="B58" t="s">
        <v>174</v>
      </c>
      <c r="C58" t="s">
        <v>78</v>
      </c>
      <c r="D58" t="s">
        <v>28</v>
      </c>
      <c r="E58" t="s">
        <v>97</v>
      </c>
      <c r="F58" t="s">
        <v>68</v>
      </c>
      <c r="G58">
        <v>9512625</v>
      </c>
      <c r="H58">
        <v>5861488</v>
      </c>
      <c r="I58">
        <v>3651137</v>
      </c>
      <c r="J58">
        <v>0.62</v>
      </c>
      <c r="K58">
        <v>13.77</v>
      </c>
      <c r="L58">
        <v>55</v>
      </c>
      <c r="M58" t="s">
        <v>55</v>
      </c>
      <c r="N58">
        <v>0</v>
      </c>
      <c r="O58" t="s">
        <v>56</v>
      </c>
      <c r="P58">
        <v>1</v>
      </c>
      <c r="Q58">
        <v>0</v>
      </c>
      <c r="R58" t="s">
        <v>41</v>
      </c>
      <c r="S58" t="s">
        <v>79</v>
      </c>
      <c r="T58">
        <v>2</v>
      </c>
      <c r="U58">
        <v>340472268</v>
      </c>
      <c r="V58" t="s">
        <v>58</v>
      </c>
      <c r="W58" s="1">
        <v>44524</v>
      </c>
      <c r="X58" s="1">
        <v>44530</v>
      </c>
      <c r="Y58" s="5">
        <f>IF(Table1[[#This Row],[NPA_Flag]]=1, Table1[[#This Row],[Outstanding_Amount]], 0)</f>
        <v>0</v>
      </c>
      <c r="Z58" s="1">
        <v>46053</v>
      </c>
    </row>
    <row r="59" spans="1:26" x14ac:dyDescent="0.25">
      <c r="A59" t="s">
        <v>175</v>
      </c>
      <c r="B59" t="s">
        <v>96</v>
      </c>
      <c r="C59" t="s">
        <v>27</v>
      </c>
      <c r="D59" t="s">
        <v>39</v>
      </c>
      <c r="E59" t="s">
        <v>45</v>
      </c>
      <c r="F59" t="s">
        <v>54</v>
      </c>
      <c r="G59">
        <v>10044572</v>
      </c>
      <c r="H59">
        <v>8290533</v>
      </c>
      <c r="I59">
        <v>1754039</v>
      </c>
      <c r="J59">
        <v>0.83</v>
      </c>
      <c r="K59">
        <v>11.56</v>
      </c>
      <c r="L59">
        <v>27</v>
      </c>
      <c r="M59" t="s">
        <v>31</v>
      </c>
      <c r="N59">
        <v>0</v>
      </c>
      <c r="O59" t="s">
        <v>32</v>
      </c>
      <c r="P59">
        <v>1</v>
      </c>
      <c r="Q59">
        <v>2</v>
      </c>
      <c r="R59" t="s">
        <v>47</v>
      </c>
      <c r="S59" t="s">
        <v>64</v>
      </c>
      <c r="T59">
        <v>22</v>
      </c>
      <c r="U59">
        <v>99633435</v>
      </c>
      <c r="V59" t="s">
        <v>49</v>
      </c>
      <c r="W59" s="1">
        <v>43835</v>
      </c>
      <c r="X59" s="1">
        <v>43836</v>
      </c>
      <c r="Y59" s="5">
        <f>IF(Table1[[#This Row],[NPA_Flag]]=1, Table1[[#This Row],[Outstanding_Amount]], 0)</f>
        <v>0</v>
      </c>
      <c r="Z59" s="1">
        <v>46053</v>
      </c>
    </row>
    <row r="60" spans="1:26" x14ac:dyDescent="0.25">
      <c r="A60" t="s">
        <v>176</v>
      </c>
      <c r="B60" t="s">
        <v>177</v>
      </c>
      <c r="C60" t="s">
        <v>44</v>
      </c>
      <c r="D60" t="s">
        <v>61</v>
      </c>
      <c r="E60" t="s">
        <v>94</v>
      </c>
      <c r="F60" t="s">
        <v>46</v>
      </c>
      <c r="G60">
        <v>6103787</v>
      </c>
      <c r="H60">
        <v>5791783</v>
      </c>
      <c r="I60">
        <v>312004</v>
      </c>
      <c r="J60">
        <v>0.95</v>
      </c>
      <c r="K60">
        <v>11.42</v>
      </c>
      <c r="L60">
        <v>15</v>
      </c>
      <c r="M60" t="s">
        <v>31</v>
      </c>
      <c r="N60">
        <v>0</v>
      </c>
      <c r="O60" t="s">
        <v>32</v>
      </c>
      <c r="P60">
        <v>0</v>
      </c>
      <c r="Q60">
        <v>4</v>
      </c>
      <c r="R60" t="s">
        <v>47</v>
      </c>
      <c r="S60" t="s">
        <v>48</v>
      </c>
      <c r="T60">
        <v>25</v>
      </c>
      <c r="U60">
        <v>331899349</v>
      </c>
      <c r="V60" t="s">
        <v>58</v>
      </c>
      <c r="W60" s="1">
        <v>45134</v>
      </c>
      <c r="X60" s="1">
        <v>45141</v>
      </c>
      <c r="Y60" s="5">
        <f>IF(Table1[[#This Row],[NPA_Flag]]=1, Table1[[#This Row],[Outstanding_Amount]], 0)</f>
        <v>0</v>
      </c>
      <c r="Z60" s="1">
        <v>46053</v>
      </c>
    </row>
    <row r="61" spans="1:26" x14ac:dyDescent="0.25">
      <c r="A61" t="s">
        <v>178</v>
      </c>
      <c r="B61" t="s">
        <v>179</v>
      </c>
      <c r="C61" t="s">
        <v>38</v>
      </c>
      <c r="D61" t="s">
        <v>39</v>
      </c>
      <c r="E61" t="s">
        <v>94</v>
      </c>
      <c r="F61" t="s">
        <v>46</v>
      </c>
      <c r="G61">
        <v>4263108</v>
      </c>
      <c r="H61">
        <v>3550695</v>
      </c>
      <c r="I61">
        <v>712413</v>
      </c>
      <c r="J61">
        <v>0.83</v>
      </c>
      <c r="K61">
        <v>11.02</v>
      </c>
      <c r="L61">
        <v>2</v>
      </c>
      <c r="M61" t="s">
        <v>31</v>
      </c>
      <c r="N61">
        <v>0</v>
      </c>
      <c r="O61" t="s">
        <v>32</v>
      </c>
      <c r="P61">
        <v>1</v>
      </c>
      <c r="Q61">
        <v>2</v>
      </c>
      <c r="R61" t="s">
        <v>41</v>
      </c>
      <c r="S61" t="s">
        <v>79</v>
      </c>
      <c r="T61">
        <v>7</v>
      </c>
      <c r="U61">
        <v>309415072</v>
      </c>
      <c r="V61" t="s">
        <v>58</v>
      </c>
      <c r="W61" s="1">
        <v>44581</v>
      </c>
      <c r="X61" s="1">
        <v>44584</v>
      </c>
      <c r="Y61" s="5">
        <f>IF(Table1[[#This Row],[NPA_Flag]]=1, Table1[[#This Row],[Outstanding_Amount]], 0)</f>
        <v>0</v>
      </c>
      <c r="Z61" s="1">
        <v>46053</v>
      </c>
    </row>
    <row r="62" spans="1:26" x14ac:dyDescent="0.25">
      <c r="A62" t="s">
        <v>180</v>
      </c>
      <c r="B62" t="s">
        <v>162</v>
      </c>
      <c r="C62" t="s">
        <v>38</v>
      </c>
      <c r="D62" t="s">
        <v>61</v>
      </c>
      <c r="E62" t="s">
        <v>97</v>
      </c>
      <c r="F62" t="s">
        <v>68</v>
      </c>
      <c r="G62">
        <v>10742218</v>
      </c>
      <c r="H62">
        <v>8954857</v>
      </c>
      <c r="I62">
        <v>1787361</v>
      </c>
      <c r="J62">
        <v>0.83</v>
      </c>
      <c r="K62">
        <v>9.83</v>
      </c>
      <c r="L62">
        <v>21</v>
      </c>
      <c r="M62" t="s">
        <v>31</v>
      </c>
      <c r="N62">
        <v>0</v>
      </c>
      <c r="O62" t="s">
        <v>32</v>
      </c>
      <c r="P62">
        <v>1</v>
      </c>
      <c r="Q62">
        <v>3</v>
      </c>
      <c r="R62" t="s">
        <v>41</v>
      </c>
      <c r="S62" t="s">
        <v>79</v>
      </c>
      <c r="T62">
        <v>5</v>
      </c>
      <c r="U62">
        <v>492349522</v>
      </c>
      <c r="V62" t="s">
        <v>49</v>
      </c>
      <c r="W62" s="1">
        <v>43927</v>
      </c>
      <c r="X62" s="1">
        <v>43931</v>
      </c>
      <c r="Y62" s="5">
        <f>IF(Table1[[#This Row],[NPA_Flag]]=1, Table1[[#This Row],[Outstanding_Amount]], 0)</f>
        <v>0</v>
      </c>
      <c r="Z62" s="1">
        <v>46053</v>
      </c>
    </row>
    <row r="63" spans="1:26" x14ac:dyDescent="0.25">
      <c r="A63" t="s">
        <v>181</v>
      </c>
      <c r="B63" t="s">
        <v>182</v>
      </c>
      <c r="C63" t="s">
        <v>44</v>
      </c>
      <c r="D63" t="s">
        <v>28</v>
      </c>
      <c r="E63" t="s">
        <v>102</v>
      </c>
      <c r="F63" t="s">
        <v>68</v>
      </c>
      <c r="G63">
        <v>5665031</v>
      </c>
      <c r="H63">
        <v>4630566</v>
      </c>
      <c r="I63">
        <v>1034465</v>
      </c>
      <c r="J63">
        <v>0.82</v>
      </c>
      <c r="K63">
        <v>10.87</v>
      </c>
      <c r="L63">
        <v>19</v>
      </c>
      <c r="M63" t="s">
        <v>31</v>
      </c>
      <c r="N63">
        <v>0</v>
      </c>
      <c r="O63" t="s">
        <v>32</v>
      </c>
      <c r="P63">
        <v>0</v>
      </c>
      <c r="Q63">
        <v>1</v>
      </c>
      <c r="R63" t="s">
        <v>41</v>
      </c>
      <c r="S63" t="s">
        <v>34</v>
      </c>
      <c r="T63">
        <v>1</v>
      </c>
      <c r="U63">
        <v>452685969</v>
      </c>
      <c r="V63" t="s">
        <v>65</v>
      </c>
      <c r="W63" s="1">
        <v>45100</v>
      </c>
      <c r="X63" s="1">
        <v>45108</v>
      </c>
      <c r="Y63" s="5">
        <f>IF(Table1[[#This Row],[NPA_Flag]]=1, Table1[[#This Row],[Outstanding_Amount]], 0)</f>
        <v>0</v>
      </c>
      <c r="Z63" s="1">
        <v>46053</v>
      </c>
    </row>
    <row r="64" spans="1:26" x14ac:dyDescent="0.25">
      <c r="A64" t="s">
        <v>183</v>
      </c>
      <c r="B64" t="s">
        <v>184</v>
      </c>
      <c r="C64" t="s">
        <v>38</v>
      </c>
      <c r="D64" t="s">
        <v>39</v>
      </c>
      <c r="E64" t="s">
        <v>73</v>
      </c>
      <c r="F64" t="s">
        <v>54</v>
      </c>
      <c r="G64">
        <v>7339577</v>
      </c>
      <c r="H64">
        <v>5697160</v>
      </c>
      <c r="I64">
        <v>1642417</v>
      </c>
      <c r="J64">
        <v>0.78</v>
      </c>
      <c r="K64">
        <v>11.38</v>
      </c>
      <c r="L64">
        <v>163</v>
      </c>
      <c r="M64" t="s">
        <v>69</v>
      </c>
      <c r="N64">
        <v>1</v>
      </c>
      <c r="O64" t="s">
        <v>70</v>
      </c>
      <c r="P64">
        <v>1</v>
      </c>
      <c r="Q64">
        <v>3</v>
      </c>
      <c r="R64" t="s">
        <v>91</v>
      </c>
      <c r="S64" t="s">
        <v>64</v>
      </c>
      <c r="T64">
        <v>24</v>
      </c>
      <c r="U64">
        <v>60510323</v>
      </c>
      <c r="V64" t="s">
        <v>49</v>
      </c>
      <c r="W64" s="1">
        <v>44142</v>
      </c>
      <c r="X64" s="1">
        <v>44148</v>
      </c>
      <c r="Y64" s="5">
        <f>IF(Table1[[#This Row],[NPA_Flag]]=1, Table1[[#This Row],[Outstanding_Amount]], 0)</f>
        <v>5697160</v>
      </c>
      <c r="Z64" s="1">
        <v>46053</v>
      </c>
    </row>
    <row r="65" spans="1:26" x14ac:dyDescent="0.25">
      <c r="A65" t="s">
        <v>185</v>
      </c>
      <c r="B65" t="s">
        <v>63</v>
      </c>
      <c r="C65" t="s">
        <v>27</v>
      </c>
      <c r="D65" t="s">
        <v>52</v>
      </c>
      <c r="E65" t="s">
        <v>29</v>
      </c>
      <c r="F65" t="s">
        <v>54</v>
      </c>
      <c r="G65">
        <v>12689124</v>
      </c>
      <c r="H65">
        <v>11222297</v>
      </c>
      <c r="I65">
        <v>1466827</v>
      </c>
      <c r="J65">
        <v>0.88</v>
      </c>
      <c r="K65">
        <v>12.28</v>
      </c>
      <c r="L65">
        <v>25</v>
      </c>
      <c r="M65" t="s">
        <v>31</v>
      </c>
      <c r="N65">
        <v>0</v>
      </c>
      <c r="O65" t="s">
        <v>32</v>
      </c>
      <c r="P65">
        <v>1</v>
      </c>
      <c r="Q65">
        <v>4</v>
      </c>
      <c r="R65" t="s">
        <v>41</v>
      </c>
      <c r="S65" t="s">
        <v>48</v>
      </c>
      <c r="T65">
        <v>11</v>
      </c>
      <c r="U65">
        <v>139427910</v>
      </c>
      <c r="V65" t="s">
        <v>58</v>
      </c>
      <c r="W65" s="1">
        <v>44437</v>
      </c>
      <c r="X65" s="1">
        <v>44447</v>
      </c>
      <c r="Y65" s="5">
        <f>IF(Table1[[#This Row],[NPA_Flag]]=1, Table1[[#This Row],[Outstanding_Amount]], 0)</f>
        <v>0</v>
      </c>
      <c r="Z65" s="1">
        <v>46053</v>
      </c>
    </row>
    <row r="66" spans="1:26" x14ac:dyDescent="0.25">
      <c r="A66" t="s">
        <v>186</v>
      </c>
      <c r="B66" t="s">
        <v>187</v>
      </c>
      <c r="C66" t="s">
        <v>44</v>
      </c>
      <c r="D66" t="s">
        <v>28</v>
      </c>
      <c r="E66" t="s">
        <v>45</v>
      </c>
      <c r="F66" t="s">
        <v>30</v>
      </c>
      <c r="G66">
        <v>3043206</v>
      </c>
      <c r="H66">
        <v>2832123</v>
      </c>
      <c r="I66">
        <v>211083</v>
      </c>
      <c r="J66">
        <v>0.93</v>
      </c>
      <c r="K66">
        <v>12.15</v>
      </c>
      <c r="L66">
        <v>6</v>
      </c>
      <c r="M66" t="s">
        <v>31</v>
      </c>
      <c r="N66">
        <v>0</v>
      </c>
      <c r="O66" t="s">
        <v>32</v>
      </c>
      <c r="P66">
        <v>1</v>
      </c>
      <c r="Q66">
        <v>1</v>
      </c>
      <c r="R66" t="s">
        <v>91</v>
      </c>
      <c r="S66" t="s">
        <v>64</v>
      </c>
      <c r="T66">
        <v>6</v>
      </c>
      <c r="U66">
        <v>428806847</v>
      </c>
      <c r="V66" t="s">
        <v>58</v>
      </c>
      <c r="W66" s="1">
        <v>45322</v>
      </c>
      <c r="X66" s="1">
        <v>45331</v>
      </c>
      <c r="Y66" s="5">
        <f>IF(Table1[[#This Row],[NPA_Flag]]=1, Table1[[#This Row],[Outstanding_Amount]], 0)</f>
        <v>0</v>
      </c>
      <c r="Z66" s="1">
        <v>46053</v>
      </c>
    </row>
    <row r="67" spans="1:26" x14ac:dyDescent="0.25">
      <c r="A67" t="s">
        <v>188</v>
      </c>
      <c r="B67" t="s">
        <v>189</v>
      </c>
      <c r="C67" t="s">
        <v>27</v>
      </c>
      <c r="D67" t="s">
        <v>39</v>
      </c>
      <c r="E67" t="s">
        <v>85</v>
      </c>
      <c r="F67" t="s">
        <v>54</v>
      </c>
      <c r="G67">
        <v>3086143</v>
      </c>
      <c r="H67">
        <v>2135036</v>
      </c>
      <c r="I67">
        <v>951107</v>
      </c>
      <c r="J67">
        <v>0.69</v>
      </c>
      <c r="K67">
        <v>10.65</v>
      </c>
      <c r="L67">
        <v>27</v>
      </c>
      <c r="M67" t="s">
        <v>31</v>
      </c>
      <c r="N67">
        <v>0</v>
      </c>
      <c r="O67" t="s">
        <v>32</v>
      </c>
      <c r="P67">
        <v>1</v>
      </c>
      <c r="Q67">
        <v>1</v>
      </c>
      <c r="R67" t="s">
        <v>47</v>
      </c>
      <c r="S67" t="s">
        <v>79</v>
      </c>
      <c r="T67">
        <v>18</v>
      </c>
      <c r="U67">
        <v>491921835</v>
      </c>
      <c r="V67" t="s">
        <v>58</v>
      </c>
      <c r="W67" s="1">
        <v>43847</v>
      </c>
      <c r="X67" s="1">
        <v>43855</v>
      </c>
      <c r="Y67" s="5">
        <f>IF(Table1[[#This Row],[NPA_Flag]]=1, Table1[[#This Row],[Outstanding_Amount]], 0)</f>
        <v>0</v>
      </c>
      <c r="Z67" s="1">
        <v>46053</v>
      </c>
    </row>
    <row r="68" spans="1:26" x14ac:dyDescent="0.25">
      <c r="A68" t="s">
        <v>190</v>
      </c>
      <c r="B68" t="s">
        <v>191</v>
      </c>
      <c r="C68" t="s">
        <v>38</v>
      </c>
      <c r="D68" t="s">
        <v>52</v>
      </c>
      <c r="E68" t="s">
        <v>53</v>
      </c>
      <c r="F68" t="s">
        <v>46</v>
      </c>
      <c r="G68">
        <v>3722394</v>
      </c>
      <c r="H68">
        <v>2597789</v>
      </c>
      <c r="I68">
        <v>1124605</v>
      </c>
      <c r="J68">
        <v>0.7</v>
      </c>
      <c r="K68">
        <v>11.83</v>
      </c>
      <c r="L68">
        <v>25</v>
      </c>
      <c r="M68" t="s">
        <v>31</v>
      </c>
      <c r="N68">
        <v>0</v>
      </c>
      <c r="O68" t="s">
        <v>32</v>
      </c>
      <c r="P68">
        <v>0</v>
      </c>
      <c r="Q68">
        <v>5</v>
      </c>
      <c r="R68" t="s">
        <v>41</v>
      </c>
      <c r="S68" t="s">
        <v>34</v>
      </c>
      <c r="T68">
        <v>7</v>
      </c>
      <c r="U68">
        <v>56134431</v>
      </c>
      <c r="V68" t="s">
        <v>35</v>
      </c>
      <c r="W68" s="1">
        <v>44623</v>
      </c>
      <c r="X68" s="1">
        <v>44624</v>
      </c>
      <c r="Y68" s="5">
        <f>IF(Table1[[#This Row],[NPA_Flag]]=1, Table1[[#This Row],[Outstanding_Amount]], 0)</f>
        <v>0</v>
      </c>
      <c r="Z68" s="1">
        <v>46053</v>
      </c>
    </row>
    <row r="69" spans="1:26" x14ac:dyDescent="0.25">
      <c r="A69" t="s">
        <v>192</v>
      </c>
      <c r="B69" t="s">
        <v>171</v>
      </c>
      <c r="C69" t="s">
        <v>78</v>
      </c>
      <c r="D69" t="s">
        <v>52</v>
      </c>
      <c r="E69" t="s">
        <v>73</v>
      </c>
      <c r="F69" t="s">
        <v>46</v>
      </c>
      <c r="G69">
        <v>9288685</v>
      </c>
      <c r="H69">
        <v>7915269</v>
      </c>
      <c r="I69">
        <v>1373416</v>
      </c>
      <c r="J69">
        <v>0.85</v>
      </c>
      <c r="K69">
        <v>9.18</v>
      </c>
      <c r="L69">
        <v>13</v>
      </c>
      <c r="M69" t="s">
        <v>31</v>
      </c>
      <c r="N69">
        <v>0</v>
      </c>
      <c r="O69" t="s">
        <v>32</v>
      </c>
      <c r="P69">
        <v>0</v>
      </c>
      <c r="Q69">
        <v>1</v>
      </c>
      <c r="R69" t="s">
        <v>41</v>
      </c>
      <c r="S69" t="s">
        <v>34</v>
      </c>
      <c r="T69">
        <v>20</v>
      </c>
      <c r="U69">
        <v>235619005</v>
      </c>
      <c r="V69" t="s">
        <v>65</v>
      </c>
      <c r="W69" s="1">
        <v>44907</v>
      </c>
      <c r="X69" s="1">
        <v>44908</v>
      </c>
      <c r="Y69" s="5">
        <f>IF(Table1[[#This Row],[NPA_Flag]]=1, Table1[[#This Row],[Outstanding_Amount]], 0)</f>
        <v>0</v>
      </c>
      <c r="Z69" s="1">
        <v>46053</v>
      </c>
    </row>
    <row r="70" spans="1:26" x14ac:dyDescent="0.25">
      <c r="A70" t="s">
        <v>193</v>
      </c>
      <c r="B70" t="s">
        <v>194</v>
      </c>
      <c r="C70" t="s">
        <v>78</v>
      </c>
      <c r="D70" t="s">
        <v>39</v>
      </c>
      <c r="E70" t="s">
        <v>73</v>
      </c>
      <c r="F70" t="s">
        <v>68</v>
      </c>
      <c r="G70">
        <v>2706986</v>
      </c>
      <c r="H70">
        <v>2279105</v>
      </c>
      <c r="I70">
        <v>427881</v>
      </c>
      <c r="J70">
        <v>0.84</v>
      </c>
      <c r="K70">
        <v>10.45</v>
      </c>
      <c r="L70">
        <v>27</v>
      </c>
      <c r="M70" t="s">
        <v>31</v>
      </c>
      <c r="N70">
        <v>0</v>
      </c>
      <c r="O70" t="s">
        <v>32</v>
      </c>
      <c r="P70">
        <v>1</v>
      </c>
      <c r="Q70">
        <v>1</v>
      </c>
      <c r="R70" t="s">
        <v>41</v>
      </c>
      <c r="S70" t="s">
        <v>79</v>
      </c>
      <c r="T70">
        <v>2</v>
      </c>
      <c r="U70">
        <v>83166586</v>
      </c>
      <c r="V70" t="s">
        <v>65</v>
      </c>
      <c r="W70" s="1">
        <v>44419</v>
      </c>
      <c r="X70" s="1">
        <v>44420</v>
      </c>
      <c r="Y70" s="5">
        <f>IF(Table1[[#This Row],[NPA_Flag]]=1, Table1[[#This Row],[Outstanding_Amount]], 0)</f>
        <v>0</v>
      </c>
      <c r="Z70" s="1">
        <v>46053</v>
      </c>
    </row>
    <row r="71" spans="1:26" x14ac:dyDescent="0.25">
      <c r="A71" t="s">
        <v>195</v>
      </c>
      <c r="B71" t="s">
        <v>196</v>
      </c>
      <c r="C71" t="s">
        <v>38</v>
      </c>
      <c r="D71" t="s">
        <v>39</v>
      </c>
      <c r="E71" t="s">
        <v>97</v>
      </c>
      <c r="F71" t="s">
        <v>54</v>
      </c>
      <c r="G71">
        <v>12239812</v>
      </c>
      <c r="H71">
        <v>7989407</v>
      </c>
      <c r="I71">
        <v>4250405</v>
      </c>
      <c r="J71">
        <v>0.65</v>
      </c>
      <c r="K71">
        <v>10.11</v>
      </c>
      <c r="L71">
        <v>44</v>
      </c>
      <c r="M71" t="s">
        <v>55</v>
      </c>
      <c r="N71">
        <v>0</v>
      </c>
      <c r="O71" t="s">
        <v>56</v>
      </c>
      <c r="P71">
        <v>0</v>
      </c>
      <c r="Q71">
        <v>0</v>
      </c>
      <c r="R71" t="s">
        <v>47</v>
      </c>
      <c r="S71" t="s">
        <v>57</v>
      </c>
      <c r="T71">
        <v>16</v>
      </c>
      <c r="U71">
        <v>354536069</v>
      </c>
      <c r="V71" t="s">
        <v>49</v>
      </c>
      <c r="W71" s="1">
        <v>43848</v>
      </c>
      <c r="X71" s="1">
        <v>43856</v>
      </c>
      <c r="Y71" s="5">
        <f>IF(Table1[[#This Row],[NPA_Flag]]=1, Table1[[#This Row],[Outstanding_Amount]], 0)</f>
        <v>0</v>
      </c>
      <c r="Z71" s="1">
        <v>46053</v>
      </c>
    </row>
    <row r="72" spans="1:26" x14ac:dyDescent="0.25">
      <c r="A72" t="s">
        <v>197</v>
      </c>
      <c r="B72" t="s">
        <v>89</v>
      </c>
      <c r="C72" t="s">
        <v>38</v>
      </c>
      <c r="D72" t="s">
        <v>28</v>
      </c>
      <c r="E72" t="s">
        <v>94</v>
      </c>
      <c r="F72" t="s">
        <v>30</v>
      </c>
      <c r="G72">
        <v>12752298</v>
      </c>
      <c r="H72">
        <v>12103665</v>
      </c>
      <c r="I72">
        <v>648633</v>
      </c>
      <c r="J72">
        <v>0.95</v>
      </c>
      <c r="K72">
        <v>13.76</v>
      </c>
      <c r="L72">
        <v>30</v>
      </c>
      <c r="M72" t="s">
        <v>31</v>
      </c>
      <c r="N72">
        <v>0</v>
      </c>
      <c r="O72" t="s">
        <v>32</v>
      </c>
      <c r="P72">
        <v>0</v>
      </c>
      <c r="Q72">
        <v>4</v>
      </c>
      <c r="R72" t="s">
        <v>47</v>
      </c>
      <c r="S72" t="s">
        <v>79</v>
      </c>
      <c r="T72">
        <v>6</v>
      </c>
      <c r="U72">
        <v>181108707</v>
      </c>
      <c r="V72" t="s">
        <v>65</v>
      </c>
      <c r="W72" s="1">
        <v>45087</v>
      </c>
      <c r="X72" s="1">
        <v>45089</v>
      </c>
      <c r="Y72" s="5">
        <f>IF(Table1[[#This Row],[NPA_Flag]]=1, Table1[[#This Row],[Outstanding_Amount]], 0)</f>
        <v>0</v>
      </c>
      <c r="Z72" s="1">
        <v>46053</v>
      </c>
    </row>
    <row r="73" spans="1:26" x14ac:dyDescent="0.25">
      <c r="A73" t="s">
        <v>198</v>
      </c>
      <c r="B73" t="s">
        <v>199</v>
      </c>
      <c r="C73" t="s">
        <v>44</v>
      </c>
      <c r="D73" t="s">
        <v>61</v>
      </c>
      <c r="E73" t="s">
        <v>29</v>
      </c>
      <c r="F73" t="s">
        <v>54</v>
      </c>
      <c r="G73">
        <v>8545916</v>
      </c>
      <c r="H73">
        <v>6932120</v>
      </c>
      <c r="I73">
        <v>1613796</v>
      </c>
      <c r="J73">
        <v>0.81</v>
      </c>
      <c r="K73">
        <v>10.63</v>
      </c>
      <c r="L73">
        <v>3</v>
      </c>
      <c r="M73" t="s">
        <v>31</v>
      </c>
      <c r="N73">
        <v>0</v>
      </c>
      <c r="O73" t="s">
        <v>32</v>
      </c>
      <c r="P73">
        <v>0</v>
      </c>
      <c r="Q73">
        <v>0</v>
      </c>
      <c r="R73" t="s">
        <v>91</v>
      </c>
      <c r="S73" t="s">
        <v>48</v>
      </c>
      <c r="T73">
        <v>24</v>
      </c>
      <c r="U73">
        <v>469485477</v>
      </c>
      <c r="V73" t="s">
        <v>49</v>
      </c>
      <c r="W73" s="1">
        <v>44361</v>
      </c>
      <c r="X73" s="1">
        <v>44366</v>
      </c>
      <c r="Y73" s="5">
        <f>IF(Table1[[#This Row],[NPA_Flag]]=1, Table1[[#This Row],[Outstanding_Amount]], 0)</f>
        <v>0</v>
      </c>
      <c r="Z73" s="1">
        <v>46053</v>
      </c>
    </row>
    <row r="74" spans="1:26" x14ac:dyDescent="0.25">
      <c r="A74" t="s">
        <v>200</v>
      </c>
      <c r="B74" t="s">
        <v>164</v>
      </c>
      <c r="C74" t="s">
        <v>78</v>
      </c>
      <c r="D74" t="s">
        <v>61</v>
      </c>
      <c r="E74" t="s">
        <v>94</v>
      </c>
      <c r="F74" t="s">
        <v>68</v>
      </c>
      <c r="G74">
        <v>2187203</v>
      </c>
      <c r="H74">
        <v>1818209</v>
      </c>
      <c r="I74">
        <v>368994</v>
      </c>
      <c r="J74">
        <v>0.83</v>
      </c>
      <c r="K74">
        <v>14.16</v>
      </c>
      <c r="L74">
        <v>10</v>
      </c>
      <c r="M74" t="s">
        <v>31</v>
      </c>
      <c r="N74">
        <v>0</v>
      </c>
      <c r="O74" t="s">
        <v>32</v>
      </c>
      <c r="P74">
        <v>0</v>
      </c>
      <c r="Q74">
        <v>0</v>
      </c>
      <c r="R74" t="s">
        <v>41</v>
      </c>
      <c r="S74" t="s">
        <v>64</v>
      </c>
      <c r="T74">
        <v>15</v>
      </c>
      <c r="U74">
        <v>57549454</v>
      </c>
      <c r="V74" t="s">
        <v>49</v>
      </c>
      <c r="W74" s="1">
        <v>43868</v>
      </c>
      <c r="X74" s="1">
        <v>43872</v>
      </c>
      <c r="Y74" s="5">
        <f>IF(Table1[[#This Row],[NPA_Flag]]=1, Table1[[#This Row],[Outstanding_Amount]], 0)</f>
        <v>0</v>
      </c>
      <c r="Z74" s="1">
        <v>46053</v>
      </c>
    </row>
    <row r="75" spans="1:26" x14ac:dyDescent="0.25">
      <c r="A75" t="s">
        <v>201</v>
      </c>
      <c r="B75" t="s">
        <v>202</v>
      </c>
      <c r="C75" t="s">
        <v>27</v>
      </c>
      <c r="D75" t="s">
        <v>39</v>
      </c>
      <c r="E75" t="s">
        <v>102</v>
      </c>
      <c r="F75" t="s">
        <v>46</v>
      </c>
      <c r="G75">
        <v>14929873</v>
      </c>
      <c r="H75">
        <v>13622740</v>
      </c>
      <c r="I75">
        <v>1307133</v>
      </c>
      <c r="J75">
        <v>0.91</v>
      </c>
      <c r="K75">
        <v>14.28</v>
      </c>
      <c r="L75">
        <v>27</v>
      </c>
      <c r="M75" t="s">
        <v>31</v>
      </c>
      <c r="N75">
        <v>0</v>
      </c>
      <c r="O75" t="s">
        <v>32</v>
      </c>
      <c r="P75">
        <v>0</v>
      </c>
      <c r="Q75">
        <v>1</v>
      </c>
      <c r="R75" t="s">
        <v>47</v>
      </c>
      <c r="S75" t="s">
        <v>48</v>
      </c>
      <c r="T75">
        <v>15</v>
      </c>
      <c r="U75">
        <v>211029864</v>
      </c>
      <c r="V75" t="s">
        <v>58</v>
      </c>
      <c r="W75" s="1">
        <v>44757</v>
      </c>
      <c r="X75" s="1">
        <v>44766</v>
      </c>
      <c r="Y75" s="5">
        <f>IF(Table1[[#This Row],[NPA_Flag]]=1, Table1[[#This Row],[Outstanding_Amount]], 0)</f>
        <v>0</v>
      </c>
      <c r="Z75" s="1">
        <v>46053</v>
      </c>
    </row>
    <row r="76" spans="1:26" x14ac:dyDescent="0.25">
      <c r="A76" t="s">
        <v>203</v>
      </c>
      <c r="B76" t="s">
        <v>204</v>
      </c>
      <c r="C76" t="s">
        <v>38</v>
      </c>
      <c r="D76" t="s">
        <v>39</v>
      </c>
      <c r="E76" t="s">
        <v>82</v>
      </c>
      <c r="F76" t="s">
        <v>30</v>
      </c>
      <c r="G76">
        <v>5946626</v>
      </c>
      <c r="H76">
        <v>4485559</v>
      </c>
      <c r="I76">
        <v>1461067</v>
      </c>
      <c r="J76">
        <v>0.75</v>
      </c>
      <c r="K76">
        <v>13.77</v>
      </c>
      <c r="L76">
        <v>7</v>
      </c>
      <c r="M76" t="s">
        <v>31</v>
      </c>
      <c r="N76">
        <v>0</v>
      </c>
      <c r="O76" t="s">
        <v>32</v>
      </c>
      <c r="P76">
        <v>1</v>
      </c>
      <c r="Q76">
        <v>3</v>
      </c>
      <c r="R76" t="s">
        <v>33</v>
      </c>
      <c r="S76" t="s">
        <v>64</v>
      </c>
      <c r="T76">
        <v>18</v>
      </c>
      <c r="U76">
        <v>320823700</v>
      </c>
      <c r="V76" t="s">
        <v>65</v>
      </c>
      <c r="W76" s="1">
        <v>45254</v>
      </c>
      <c r="X76" s="1">
        <v>45255</v>
      </c>
      <c r="Y76" s="5">
        <f>IF(Table1[[#This Row],[NPA_Flag]]=1, Table1[[#This Row],[Outstanding_Amount]], 0)</f>
        <v>0</v>
      </c>
      <c r="Z76" s="1">
        <v>46053</v>
      </c>
    </row>
    <row r="77" spans="1:26" x14ac:dyDescent="0.25">
      <c r="A77" t="s">
        <v>205</v>
      </c>
      <c r="B77" t="s">
        <v>194</v>
      </c>
      <c r="C77" t="s">
        <v>27</v>
      </c>
      <c r="D77" t="s">
        <v>28</v>
      </c>
      <c r="E77" t="s">
        <v>85</v>
      </c>
      <c r="F77" t="s">
        <v>30</v>
      </c>
      <c r="G77">
        <v>13675272</v>
      </c>
      <c r="H77">
        <v>8840809</v>
      </c>
      <c r="I77">
        <v>4834463</v>
      </c>
      <c r="J77">
        <v>0.65</v>
      </c>
      <c r="K77">
        <v>10.27</v>
      </c>
      <c r="L77">
        <v>25</v>
      </c>
      <c r="M77" t="s">
        <v>31</v>
      </c>
      <c r="N77">
        <v>0</v>
      </c>
      <c r="O77" t="s">
        <v>32</v>
      </c>
      <c r="P77">
        <v>1</v>
      </c>
      <c r="Q77">
        <v>2</v>
      </c>
      <c r="R77" t="s">
        <v>33</v>
      </c>
      <c r="S77" t="s">
        <v>79</v>
      </c>
      <c r="T77">
        <v>15</v>
      </c>
      <c r="U77">
        <v>447971807</v>
      </c>
      <c r="V77" t="s">
        <v>35</v>
      </c>
      <c r="W77" s="1">
        <v>45175</v>
      </c>
      <c r="X77" s="1">
        <v>45181</v>
      </c>
      <c r="Y77" s="5">
        <f>IF(Table1[[#This Row],[NPA_Flag]]=1, Table1[[#This Row],[Outstanding_Amount]], 0)</f>
        <v>0</v>
      </c>
      <c r="Z77" s="1">
        <v>46053</v>
      </c>
    </row>
    <row r="78" spans="1:26" x14ac:dyDescent="0.25">
      <c r="A78" t="s">
        <v>206</v>
      </c>
      <c r="B78" t="s">
        <v>207</v>
      </c>
      <c r="C78" t="s">
        <v>38</v>
      </c>
      <c r="D78" t="s">
        <v>28</v>
      </c>
      <c r="E78" t="s">
        <v>29</v>
      </c>
      <c r="F78" t="s">
        <v>30</v>
      </c>
      <c r="G78">
        <v>13085553</v>
      </c>
      <c r="H78">
        <v>10499966</v>
      </c>
      <c r="I78">
        <v>2585587</v>
      </c>
      <c r="J78">
        <v>0.8</v>
      </c>
      <c r="K78">
        <v>13.7</v>
      </c>
      <c r="L78">
        <v>37</v>
      </c>
      <c r="M78" t="s">
        <v>55</v>
      </c>
      <c r="N78">
        <v>0</v>
      </c>
      <c r="O78" t="s">
        <v>56</v>
      </c>
      <c r="P78">
        <v>0</v>
      </c>
      <c r="Q78">
        <v>3</v>
      </c>
      <c r="R78" t="s">
        <v>91</v>
      </c>
      <c r="S78" t="s">
        <v>64</v>
      </c>
      <c r="T78">
        <v>4</v>
      </c>
      <c r="U78">
        <v>199924117</v>
      </c>
      <c r="V78" t="s">
        <v>49</v>
      </c>
      <c r="W78" s="1">
        <v>43954</v>
      </c>
      <c r="X78" s="1">
        <v>43964</v>
      </c>
      <c r="Y78" s="5">
        <f>IF(Table1[[#This Row],[NPA_Flag]]=1, Table1[[#This Row],[Outstanding_Amount]], 0)</f>
        <v>0</v>
      </c>
      <c r="Z78" s="1">
        <v>46053</v>
      </c>
    </row>
    <row r="79" spans="1:26" x14ac:dyDescent="0.25">
      <c r="A79" t="s">
        <v>208</v>
      </c>
      <c r="B79" t="s">
        <v>209</v>
      </c>
      <c r="C79" t="s">
        <v>78</v>
      </c>
      <c r="D79" t="s">
        <v>61</v>
      </c>
      <c r="E79" t="s">
        <v>73</v>
      </c>
      <c r="F79" t="s">
        <v>68</v>
      </c>
      <c r="G79">
        <v>6298504</v>
      </c>
      <c r="H79">
        <v>5680995</v>
      </c>
      <c r="I79">
        <v>617509</v>
      </c>
      <c r="J79">
        <v>0.9</v>
      </c>
      <c r="K79">
        <v>11.19</v>
      </c>
      <c r="L79">
        <v>2</v>
      </c>
      <c r="M79" t="s">
        <v>31</v>
      </c>
      <c r="N79">
        <v>0</v>
      </c>
      <c r="O79" t="s">
        <v>32</v>
      </c>
      <c r="P79">
        <v>0</v>
      </c>
      <c r="Q79">
        <v>1</v>
      </c>
      <c r="R79" t="s">
        <v>33</v>
      </c>
      <c r="S79" t="s">
        <v>79</v>
      </c>
      <c r="T79">
        <v>18</v>
      </c>
      <c r="U79">
        <v>219149831</v>
      </c>
      <c r="V79" t="s">
        <v>49</v>
      </c>
      <c r="W79" s="1">
        <v>44437</v>
      </c>
      <c r="X79" s="1">
        <v>44444</v>
      </c>
      <c r="Y79" s="5">
        <f>IF(Table1[[#This Row],[NPA_Flag]]=1, Table1[[#This Row],[Outstanding_Amount]], 0)</f>
        <v>0</v>
      </c>
      <c r="Z79" s="1">
        <v>46053</v>
      </c>
    </row>
    <row r="80" spans="1:26" x14ac:dyDescent="0.25">
      <c r="A80" t="s">
        <v>210</v>
      </c>
      <c r="B80" t="s">
        <v>211</v>
      </c>
      <c r="C80" t="s">
        <v>38</v>
      </c>
      <c r="D80" t="s">
        <v>52</v>
      </c>
      <c r="E80" t="s">
        <v>85</v>
      </c>
      <c r="F80" t="s">
        <v>54</v>
      </c>
      <c r="G80">
        <v>10912825</v>
      </c>
      <c r="H80">
        <v>9687172</v>
      </c>
      <c r="I80">
        <v>1225653</v>
      </c>
      <c r="J80">
        <v>0.89</v>
      </c>
      <c r="K80">
        <v>10.050000000000001</v>
      </c>
      <c r="L80">
        <v>22</v>
      </c>
      <c r="M80" t="s">
        <v>31</v>
      </c>
      <c r="N80">
        <v>0</v>
      </c>
      <c r="O80" t="s">
        <v>32</v>
      </c>
      <c r="P80">
        <v>0</v>
      </c>
      <c r="Q80">
        <v>5</v>
      </c>
      <c r="R80" t="s">
        <v>47</v>
      </c>
      <c r="S80" t="s">
        <v>57</v>
      </c>
      <c r="T80">
        <v>21</v>
      </c>
      <c r="U80">
        <v>296942853</v>
      </c>
      <c r="V80" t="s">
        <v>35</v>
      </c>
      <c r="W80" s="1">
        <v>44281</v>
      </c>
      <c r="X80" s="1">
        <v>44285</v>
      </c>
      <c r="Y80" s="5">
        <f>IF(Table1[[#This Row],[NPA_Flag]]=1, Table1[[#This Row],[Outstanding_Amount]], 0)</f>
        <v>0</v>
      </c>
      <c r="Z80" s="1">
        <v>46053</v>
      </c>
    </row>
    <row r="81" spans="1:26" x14ac:dyDescent="0.25">
      <c r="A81" t="s">
        <v>212</v>
      </c>
      <c r="B81" t="s">
        <v>213</v>
      </c>
      <c r="C81" t="s">
        <v>27</v>
      </c>
      <c r="D81" t="s">
        <v>39</v>
      </c>
      <c r="E81" t="s">
        <v>102</v>
      </c>
      <c r="F81" t="s">
        <v>46</v>
      </c>
      <c r="G81">
        <v>3248858</v>
      </c>
      <c r="H81">
        <v>2219174</v>
      </c>
      <c r="I81">
        <v>1029684</v>
      </c>
      <c r="J81">
        <v>0.68</v>
      </c>
      <c r="K81">
        <v>12.6</v>
      </c>
      <c r="L81">
        <v>16</v>
      </c>
      <c r="M81" t="s">
        <v>31</v>
      </c>
      <c r="N81">
        <v>0</v>
      </c>
      <c r="O81" t="s">
        <v>32</v>
      </c>
      <c r="P81">
        <v>1</v>
      </c>
      <c r="Q81">
        <v>5</v>
      </c>
      <c r="R81" t="s">
        <v>41</v>
      </c>
      <c r="S81" t="s">
        <v>79</v>
      </c>
      <c r="T81">
        <v>22</v>
      </c>
      <c r="U81">
        <v>43035120</v>
      </c>
      <c r="V81" t="s">
        <v>35</v>
      </c>
      <c r="W81" s="1">
        <v>45140</v>
      </c>
      <c r="X81" s="1">
        <v>45144</v>
      </c>
      <c r="Y81" s="5">
        <f>IF(Table1[[#This Row],[NPA_Flag]]=1, Table1[[#This Row],[Outstanding_Amount]], 0)</f>
        <v>0</v>
      </c>
      <c r="Z81" s="1">
        <v>46053</v>
      </c>
    </row>
    <row r="82" spans="1:26" x14ac:dyDescent="0.25">
      <c r="A82" t="s">
        <v>214</v>
      </c>
      <c r="B82" t="s">
        <v>215</v>
      </c>
      <c r="C82" t="s">
        <v>78</v>
      </c>
      <c r="D82" t="s">
        <v>61</v>
      </c>
      <c r="E82" t="s">
        <v>97</v>
      </c>
      <c r="F82" t="s">
        <v>54</v>
      </c>
      <c r="G82">
        <v>9938247</v>
      </c>
      <c r="H82">
        <v>8881602</v>
      </c>
      <c r="I82">
        <v>1056645</v>
      </c>
      <c r="J82">
        <v>0.89</v>
      </c>
      <c r="K82">
        <v>10.18</v>
      </c>
      <c r="L82">
        <v>30</v>
      </c>
      <c r="M82" t="s">
        <v>31</v>
      </c>
      <c r="N82">
        <v>0</v>
      </c>
      <c r="O82" t="s">
        <v>32</v>
      </c>
      <c r="P82">
        <v>1</v>
      </c>
      <c r="Q82">
        <v>2</v>
      </c>
      <c r="R82" t="s">
        <v>47</v>
      </c>
      <c r="S82" t="s">
        <v>34</v>
      </c>
      <c r="T82">
        <v>10</v>
      </c>
      <c r="U82">
        <v>380572048</v>
      </c>
      <c r="V82" t="s">
        <v>65</v>
      </c>
      <c r="W82" s="1">
        <v>43984</v>
      </c>
      <c r="X82" s="1">
        <v>43989</v>
      </c>
      <c r="Y82" s="5">
        <f>IF(Table1[[#This Row],[NPA_Flag]]=1, Table1[[#This Row],[Outstanding_Amount]], 0)</f>
        <v>0</v>
      </c>
      <c r="Z82" s="1">
        <v>46053</v>
      </c>
    </row>
    <row r="83" spans="1:26" x14ac:dyDescent="0.25">
      <c r="A83" t="s">
        <v>216</v>
      </c>
      <c r="B83" t="s">
        <v>217</v>
      </c>
      <c r="C83" t="s">
        <v>44</v>
      </c>
      <c r="D83" t="s">
        <v>61</v>
      </c>
      <c r="E83" t="s">
        <v>40</v>
      </c>
      <c r="F83" t="s">
        <v>46</v>
      </c>
      <c r="G83">
        <v>7432328</v>
      </c>
      <c r="H83">
        <v>5236266</v>
      </c>
      <c r="I83">
        <v>2196062</v>
      </c>
      <c r="J83">
        <v>0.7</v>
      </c>
      <c r="K83">
        <v>11.23</v>
      </c>
      <c r="L83">
        <v>19</v>
      </c>
      <c r="M83" t="s">
        <v>31</v>
      </c>
      <c r="N83">
        <v>0</v>
      </c>
      <c r="O83" t="s">
        <v>32</v>
      </c>
      <c r="P83">
        <v>1</v>
      </c>
      <c r="Q83">
        <v>1</v>
      </c>
      <c r="R83" t="s">
        <v>47</v>
      </c>
      <c r="S83" t="s">
        <v>79</v>
      </c>
      <c r="T83">
        <v>12</v>
      </c>
      <c r="U83">
        <v>154696943</v>
      </c>
      <c r="V83" t="s">
        <v>49</v>
      </c>
      <c r="W83" s="1">
        <v>44148</v>
      </c>
      <c r="X83" s="1">
        <v>44151</v>
      </c>
      <c r="Y83" s="5">
        <f>IF(Table1[[#This Row],[NPA_Flag]]=1, Table1[[#This Row],[Outstanding_Amount]], 0)</f>
        <v>0</v>
      </c>
      <c r="Z83" s="1">
        <v>46053</v>
      </c>
    </row>
    <row r="84" spans="1:26" x14ac:dyDescent="0.25">
      <c r="A84" t="s">
        <v>218</v>
      </c>
      <c r="B84" t="s">
        <v>219</v>
      </c>
      <c r="C84" t="s">
        <v>27</v>
      </c>
      <c r="D84" t="s">
        <v>52</v>
      </c>
      <c r="E84" t="s">
        <v>85</v>
      </c>
      <c r="F84" t="s">
        <v>68</v>
      </c>
      <c r="G84">
        <v>14620776</v>
      </c>
      <c r="H84">
        <v>11054208</v>
      </c>
      <c r="I84">
        <v>3566568</v>
      </c>
      <c r="J84">
        <v>0.76</v>
      </c>
      <c r="K84">
        <v>9.59</v>
      </c>
      <c r="L84">
        <v>3</v>
      </c>
      <c r="M84" t="s">
        <v>31</v>
      </c>
      <c r="N84">
        <v>0</v>
      </c>
      <c r="O84" t="s">
        <v>32</v>
      </c>
      <c r="P84">
        <v>1</v>
      </c>
      <c r="Q84">
        <v>1</v>
      </c>
      <c r="R84" t="s">
        <v>33</v>
      </c>
      <c r="S84" t="s">
        <v>34</v>
      </c>
      <c r="T84">
        <v>1</v>
      </c>
      <c r="U84">
        <v>479321063</v>
      </c>
      <c r="V84" t="s">
        <v>58</v>
      </c>
      <c r="W84" s="1">
        <v>44425</v>
      </c>
      <c r="X84" s="1">
        <v>44431</v>
      </c>
      <c r="Y84" s="5">
        <f>IF(Table1[[#This Row],[NPA_Flag]]=1, Table1[[#This Row],[Outstanding_Amount]], 0)</f>
        <v>0</v>
      </c>
      <c r="Z84" s="1">
        <v>46053</v>
      </c>
    </row>
    <row r="85" spans="1:26" x14ac:dyDescent="0.25">
      <c r="A85" t="s">
        <v>220</v>
      </c>
      <c r="B85" t="s">
        <v>134</v>
      </c>
      <c r="C85" t="s">
        <v>44</v>
      </c>
      <c r="D85" t="s">
        <v>52</v>
      </c>
      <c r="E85" t="s">
        <v>97</v>
      </c>
      <c r="F85" t="s">
        <v>68</v>
      </c>
      <c r="G85">
        <v>9696323</v>
      </c>
      <c r="H85">
        <v>7630668</v>
      </c>
      <c r="I85">
        <v>2065655</v>
      </c>
      <c r="J85">
        <v>0.79</v>
      </c>
      <c r="K85">
        <v>13.88</v>
      </c>
      <c r="L85">
        <v>23</v>
      </c>
      <c r="M85" t="s">
        <v>31</v>
      </c>
      <c r="N85">
        <v>0</v>
      </c>
      <c r="O85" t="s">
        <v>32</v>
      </c>
      <c r="P85">
        <v>0</v>
      </c>
      <c r="Q85">
        <v>3</v>
      </c>
      <c r="R85" t="s">
        <v>33</v>
      </c>
      <c r="S85" t="s">
        <v>79</v>
      </c>
      <c r="T85">
        <v>4</v>
      </c>
      <c r="U85">
        <v>137655073</v>
      </c>
      <c r="V85" t="s">
        <v>65</v>
      </c>
      <c r="W85" s="1">
        <v>44146</v>
      </c>
      <c r="X85" s="1">
        <v>44147</v>
      </c>
      <c r="Y85" s="5">
        <f>IF(Table1[[#This Row],[NPA_Flag]]=1, Table1[[#This Row],[Outstanding_Amount]], 0)</f>
        <v>0</v>
      </c>
      <c r="Z85" s="1">
        <v>46053</v>
      </c>
    </row>
    <row r="86" spans="1:26" x14ac:dyDescent="0.25">
      <c r="A86" t="s">
        <v>221</v>
      </c>
      <c r="B86" t="s">
        <v>222</v>
      </c>
      <c r="C86" t="s">
        <v>78</v>
      </c>
      <c r="D86" t="s">
        <v>28</v>
      </c>
      <c r="E86" t="s">
        <v>82</v>
      </c>
      <c r="F86" t="s">
        <v>68</v>
      </c>
      <c r="G86">
        <v>12993311</v>
      </c>
      <c r="H86">
        <v>9965254</v>
      </c>
      <c r="I86">
        <v>3028057</v>
      </c>
      <c r="J86">
        <v>0.77</v>
      </c>
      <c r="K86">
        <v>13.9</v>
      </c>
      <c r="L86">
        <v>5</v>
      </c>
      <c r="M86" t="s">
        <v>31</v>
      </c>
      <c r="N86">
        <v>0</v>
      </c>
      <c r="O86" t="s">
        <v>32</v>
      </c>
      <c r="P86">
        <v>0</v>
      </c>
      <c r="Q86">
        <v>3</v>
      </c>
      <c r="R86" t="s">
        <v>33</v>
      </c>
      <c r="S86" t="s">
        <v>57</v>
      </c>
      <c r="T86">
        <v>14</v>
      </c>
      <c r="U86">
        <v>491579235</v>
      </c>
      <c r="V86" t="s">
        <v>58</v>
      </c>
      <c r="W86" s="1">
        <v>45228</v>
      </c>
      <c r="X86" s="1">
        <v>45233</v>
      </c>
      <c r="Y86" s="5">
        <f>IF(Table1[[#This Row],[NPA_Flag]]=1, Table1[[#This Row],[Outstanding_Amount]], 0)</f>
        <v>0</v>
      </c>
      <c r="Z86" s="1">
        <v>46053</v>
      </c>
    </row>
    <row r="87" spans="1:26" x14ac:dyDescent="0.25">
      <c r="A87" t="s">
        <v>223</v>
      </c>
      <c r="B87" t="s">
        <v>110</v>
      </c>
      <c r="C87" t="s">
        <v>78</v>
      </c>
      <c r="D87" t="s">
        <v>39</v>
      </c>
      <c r="E87" t="s">
        <v>85</v>
      </c>
      <c r="F87" t="s">
        <v>46</v>
      </c>
      <c r="G87">
        <v>5271605</v>
      </c>
      <c r="H87">
        <v>4456154</v>
      </c>
      <c r="I87">
        <v>815451</v>
      </c>
      <c r="J87">
        <v>0.85</v>
      </c>
      <c r="K87">
        <v>10.09</v>
      </c>
      <c r="L87">
        <v>11</v>
      </c>
      <c r="M87" t="s">
        <v>31</v>
      </c>
      <c r="N87">
        <v>0</v>
      </c>
      <c r="O87" t="s">
        <v>32</v>
      </c>
      <c r="P87">
        <v>0</v>
      </c>
      <c r="Q87">
        <v>0</v>
      </c>
      <c r="R87" t="s">
        <v>47</v>
      </c>
      <c r="S87" t="s">
        <v>79</v>
      </c>
      <c r="T87">
        <v>5</v>
      </c>
      <c r="U87">
        <v>412001190</v>
      </c>
      <c r="V87" t="s">
        <v>49</v>
      </c>
      <c r="W87" s="1">
        <v>44658</v>
      </c>
      <c r="X87" s="1">
        <v>44661</v>
      </c>
      <c r="Y87" s="5">
        <f>IF(Table1[[#This Row],[NPA_Flag]]=1, Table1[[#This Row],[Outstanding_Amount]], 0)</f>
        <v>0</v>
      </c>
      <c r="Z87" s="1">
        <v>46053</v>
      </c>
    </row>
    <row r="88" spans="1:26" x14ac:dyDescent="0.25">
      <c r="A88" t="s">
        <v>224</v>
      </c>
      <c r="B88" t="s">
        <v>225</v>
      </c>
      <c r="C88" t="s">
        <v>78</v>
      </c>
      <c r="D88" t="s">
        <v>28</v>
      </c>
      <c r="E88" t="s">
        <v>97</v>
      </c>
      <c r="F88" t="s">
        <v>30</v>
      </c>
      <c r="G88">
        <v>2723053</v>
      </c>
      <c r="H88">
        <v>2161878</v>
      </c>
      <c r="I88">
        <v>561175</v>
      </c>
      <c r="J88">
        <v>0.79</v>
      </c>
      <c r="K88">
        <v>12.1</v>
      </c>
      <c r="L88">
        <v>43</v>
      </c>
      <c r="M88" t="s">
        <v>55</v>
      </c>
      <c r="N88">
        <v>0</v>
      </c>
      <c r="O88" t="s">
        <v>56</v>
      </c>
      <c r="P88">
        <v>0</v>
      </c>
      <c r="Q88">
        <v>3</v>
      </c>
      <c r="R88" t="s">
        <v>47</v>
      </c>
      <c r="S88" t="s">
        <v>48</v>
      </c>
      <c r="T88">
        <v>7</v>
      </c>
      <c r="U88">
        <v>12723725</v>
      </c>
      <c r="V88" t="s">
        <v>35</v>
      </c>
      <c r="W88" s="1">
        <v>44460</v>
      </c>
      <c r="X88" s="1">
        <v>44466</v>
      </c>
      <c r="Y88" s="5">
        <f>IF(Table1[[#This Row],[NPA_Flag]]=1, Table1[[#This Row],[Outstanding_Amount]], 0)</f>
        <v>0</v>
      </c>
      <c r="Z88" s="1">
        <v>46053</v>
      </c>
    </row>
    <row r="89" spans="1:26" x14ac:dyDescent="0.25">
      <c r="A89" t="s">
        <v>226</v>
      </c>
      <c r="B89" t="s">
        <v>217</v>
      </c>
      <c r="C89" t="s">
        <v>27</v>
      </c>
      <c r="D89" t="s">
        <v>39</v>
      </c>
      <c r="E89" t="s">
        <v>82</v>
      </c>
      <c r="F89" t="s">
        <v>68</v>
      </c>
      <c r="G89">
        <v>8249261</v>
      </c>
      <c r="H89">
        <v>7802017</v>
      </c>
      <c r="I89">
        <v>447244</v>
      </c>
      <c r="J89">
        <v>0.95</v>
      </c>
      <c r="K89">
        <v>10.87</v>
      </c>
      <c r="L89">
        <v>26</v>
      </c>
      <c r="M89" t="s">
        <v>31</v>
      </c>
      <c r="N89">
        <v>0</v>
      </c>
      <c r="O89" t="s">
        <v>32</v>
      </c>
      <c r="P89">
        <v>1</v>
      </c>
      <c r="Q89">
        <v>4</v>
      </c>
      <c r="R89" t="s">
        <v>91</v>
      </c>
      <c r="S89" t="s">
        <v>64</v>
      </c>
      <c r="T89">
        <v>16</v>
      </c>
      <c r="U89">
        <v>14036504</v>
      </c>
      <c r="V89" t="s">
        <v>49</v>
      </c>
      <c r="W89" s="1">
        <v>45090</v>
      </c>
      <c r="X89" s="1">
        <v>45095</v>
      </c>
      <c r="Y89" s="5">
        <f>IF(Table1[[#This Row],[NPA_Flag]]=1, Table1[[#This Row],[Outstanding_Amount]], 0)</f>
        <v>0</v>
      </c>
      <c r="Z89" s="1">
        <v>46053</v>
      </c>
    </row>
    <row r="90" spans="1:26" x14ac:dyDescent="0.25">
      <c r="A90" t="s">
        <v>227</v>
      </c>
      <c r="B90" t="s">
        <v>228</v>
      </c>
      <c r="C90" t="s">
        <v>27</v>
      </c>
      <c r="D90" t="s">
        <v>28</v>
      </c>
      <c r="E90" t="s">
        <v>73</v>
      </c>
      <c r="F90" t="s">
        <v>68</v>
      </c>
      <c r="G90">
        <v>5191299</v>
      </c>
      <c r="H90">
        <v>4428262</v>
      </c>
      <c r="I90">
        <v>763037</v>
      </c>
      <c r="J90">
        <v>0.85</v>
      </c>
      <c r="K90">
        <v>12.24</v>
      </c>
      <c r="L90">
        <v>28</v>
      </c>
      <c r="M90" t="s">
        <v>31</v>
      </c>
      <c r="N90">
        <v>0</v>
      </c>
      <c r="O90" t="s">
        <v>32</v>
      </c>
      <c r="P90">
        <v>1</v>
      </c>
      <c r="Q90">
        <v>4</v>
      </c>
      <c r="R90" t="s">
        <v>41</v>
      </c>
      <c r="S90" t="s">
        <v>79</v>
      </c>
      <c r="T90">
        <v>16</v>
      </c>
      <c r="U90">
        <v>274981710</v>
      </c>
      <c r="V90" t="s">
        <v>49</v>
      </c>
      <c r="W90" s="1">
        <v>44129</v>
      </c>
      <c r="X90" s="1">
        <v>44137</v>
      </c>
      <c r="Y90" s="5">
        <f>IF(Table1[[#This Row],[NPA_Flag]]=1, Table1[[#This Row],[Outstanding_Amount]], 0)</f>
        <v>0</v>
      </c>
      <c r="Z90" s="1">
        <v>46053</v>
      </c>
    </row>
    <row r="91" spans="1:26" x14ac:dyDescent="0.25">
      <c r="A91" t="s">
        <v>229</v>
      </c>
      <c r="B91" t="s">
        <v>151</v>
      </c>
      <c r="C91" t="s">
        <v>38</v>
      </c>
      <c r="D91" t="s">
        <v>61</v>
      </c>
      <c r="E91" t="s">
        <v>102</v>
      </c>
      <c r="F91" t="s">
        <v>68</v>
      </c>
      <c r="G91">
        <v>13662101</v>
      </c>
      <c r="H91">
        <v>12758386</v>
      </c>
      <c r="I91">
        <v>903715</v>
      </c>
      <c r="J91">
        <v>0.93</v>
      </c>
      <c r="K91">
        <v>13.52</v>
      </c>
      <c r="L91">
        <v>11</v>
      </c>
      <c r="M91" t="s">
        <v>31</v>
      </c>
      <c r="N91">
        <v>0</v>
      </c>
      <c r="O91" t="s">
        <v>32</v>
      </c>
      <c r="P91">
        <v>1</v>
      </c>
      <c r="Q91">
        <v>1</v>
      </c>
      <c r="R91" t="s">
        <v>47</v>
      </c>
      <c r="S91" t="s">
        <v>48</v>
      </c>
      <c r="T91">
        <v>13</v>
      </c>
      <c r="U91">
        <v>23973992</v>
      </c>
      <c r="V91" t="s">
        <v>35</v>
      </c>
      <c r="W91" s="1">
        <v>45315</v>
      </c>
      <c r="X91" s="1">
        <v>45317</v>
      </c>
      <c r="Y91" s="5">
        <f>IF(Table1[[#This Row],[NPA_Flag]]=1, Table1[[#This Row],[Outstanding_Amount]], 0)</f>
        <v>0</v>
      </c>
      <c r="Z91" s="1">
        <v>46053</v>
      </c>
    </row>
    <row r="92" spans="1:26" x14ac:dyDescent="0.25">
      <c r="A92" t="s">
        <v>230</v>
      </c>
      <c r="B92" t="s">
        <v>231</v>
      </c>
      <c r="C92" t="s">
        <v>38</v>
      </c>
      <c r="D92" t="s">
        <v>28</v>
      </c>
      <c r="E92" t="s">
        <v>45</v>
      </c>
      <c r="F92" t="s">
        <v>46</v>
      </c>
      <c r="G92">
        <v>14858281</v>
      </c>
      <c r="H92">
        <v>12331650</v>
      </c>
      <c r="I92">
        <v>2526631</v>
      </c>
      <c r="J92">
        <v>0.83</v>
      </c>
      <c r="K92">
        <v>9.0399999999999991</v>
      </c>
      <c r="L92">
        <v>8</v>
      </c>
      <c r="M92" t="s">
        <v>31</v>
      </c>
      <c r="N92">
        <v>0</v>
      </c>
      <c r="O92" t="s">
        <v>32</v>
      </c>
      <c r="P92">
        <v>0</v>
      </c>
      <c r="Q92">
        <v>4</v>
      </c>
      <c r="R92" t="s">
        <v>41</v>
      </c>
      <c r="S92" t="s">
        <v>64</v>
      </c>
      <c r="T92">
        <v>17</v>
      </c>
      <c r="U92">
        <v>85883795</v>
      </c>
      <c r="V92" t="s">
        <v>58</v>
      </c>
      <c r="W92" s="1">
        <v>44650</v>
      </c>
      <c r="X92" s="1">
        <v>44654</v>
      </c>
      <c r="Y92" s="5">
        <f>IF(Table1[[#This Row],[NPA_Flag]]=1, Table1[[#This Row],[Outstanding_Amount]], 0)</f>
        <v>0</v>
      </c>
      <c r="Z92" s="1">
        <v>46053</v>
      </c>
    </row>
    <row r="93" spans="1:26" x14ac:dyDescent="0.25">
      <c r="A93" t="s">
        <v>232</v>
      </c>
      <c r="B93" t="s">
        <v>233</v>
      </c>
      <c r="C93" t="s">
        <v>38</v>
      </c>
      <c r="D93" t="s">
        <v>61</v>
      </c>
      <c r="E93" t="s">
        <v>82</v>
      </c>
      <c r="F93" t="s">
        <v>68</v>
      </c>
      <c r="G93">
        <v>13572585</v>
      </c>
      <c r="H93">
        <v>11708652</v>
      </c>
      <c r="I93">
        <v>1863933</v>
      </c>
      <c r="J93">
        <v>0.86</v>
      </c>
      <c r="K93">
        <v>12.32</v>
      </c>
      <c r="L93">
        <v>13</v>
      </c>
      <c r="M93" t="s">
        <v>31</v>
      </c>
      <c r="N93">
        <v>0</v>
      </c>
      <c r="O93" t="s">
        <v>32</v>
      </c>
      <c r="P93">
        <v>0</v>
      </c>
      <c r="Q93">
        <v>4</v>
      </c>
      <c r="R93" t="s">
        <v>91</v>
      </c>
      <c r="S93" t="s">
        <v>57</v>
      </c>
      <c r="T93">
        <v>18</v>
      </c>
      <c r="U93">
        <v>395493068</v>
      </c>
      <c r="V93" t="s">
        <v>35</v>
      </c>
      <c r="W93" s="1">
        <v>44556</v>
      </c>
      <c r="X93" s="1">
        <v>44565</v>
      </c>
      <c r="Y93" s="5">
        <f>IF(Table1[[#This Row],[NPA_Flag]]=1, Table1[[#This Row],[Outstanding_Amount]], 0)</f>
        <v>0</v>
      </c>
      <c r="Z93" s="1">
        <v>46053</v>
      </c>
    </row>
    <row r="94" spans="1:26" x14ac:dyDescent="0.25">
      <c r="A94" t="s">
        <v>234</v>
      </c>
      <c r="B94" t="s">
        <v>235</v>
      </c>
      <c r="C94" t="s">
        <v>38</v>
      </c>
      <c r="D94" t="s">
        <v>52</v>
      </c>
      <c r="E94" t="s">
        <v>73</v>
      </c>
      <c r="F94" t="s">
        <v>68</v>
      </c>
      <c r="G94">
        <v>5812280</v>
      </c>
      <c r="H94">
        <v>3947512</v>
      </c>
      <c r="I94">
        <v>1864768</v>
      </c>
      <c r="J94">
        <v>0.68</v>
      </c>
      <c r="K94">
        <v>10.94</v>
      </c>
      <c r="L94">
        <v>24</v>
      </c>
      <c r="M94" t="s">
        <v>31</v>
      </c>
      <c r="N94">
        <v>0</v>
      </c>
      <c r="O94" t="s">
        <v>32</v>
      </c>
      <c r="P94">
        <v>0</v>
      </c>
      <c r="Q94">
        <v>0</v>
      </c>
      <c r="R94" t="s">
        <v>41</v>
      </c>
      <c r="S94" t="s">
        <v>79</v>
      </c>
      <c r="T94">
        <v>7</v>
      </c>
      <c r="U94">
        <v>19255081</v>
      </c>
      <c r="V94" t="s">
        <v>58</v>
      </c>
      <c r="W94" s="1">
        <v>44542</v>
      </c>
      <c r="X94" s="1">
        <v>44549</v>
      </c>
      <c r="Y94" s="5">
        <f>IF(Table1[[#This Row],[NPA_Flag]]=1, Table1[[#This Row],[Outstanding_Amount]], 0)</f>
        <v>0</v>
      </c>
      <c r="Z94" s="1">
        <v>46053</v>
      </c>
    </row>
    <row r="95" spans="1:26" x14ac:dyDescent="0.25">
      <c r="A95" t="s">
        <v>236</v>
      </c>
      <c r="B95" t="s">
        <v>112</v>
      </c>
      <c r="C95" t="s">
        <v>78</v>
      </c>
      <c r="D95" t="s">
        <v>28</v>
      </c>
      <c r="E95" t="s">
        <v>82</v>
      </c>
      <c r="F95" t="s">
        <v>54</v>
      </c>
      <c r="G95">
        <v>2888986</v>
      </c>
      <c r="H95">
        <v>2362449</v>
      </c>
      <c r="I95">
        <v>526537</v>
      </c>
      <c r="J95">
        <v>0.82</v>
      </c>
      <c r="K95">
        <v>9.36</v>
      </c>
      <c r="L95">
        <v>28</v>
      </c>
      <c r="M95" t="s">
        <v>31</v>
      </c>
      <c r="N95">
        <v>0</v>
      </c>
      <c r="O95" t="s">
        <v>32</v>
      </c>
      <c r="P95">
        <v>0</v>
      </c>
      <c r="Q95">
        <v>3</v>
      </c>
      <c r="R95" t="s">
        <v>91</v>
      </c>
      <c r="S95" t="s">
        <v>57</v>
      </c>
      <c r="T95">
        <v>19</v>
      </c>
      <c r="U95">
        <v>288157830</v>
      </c>
      <c r="V95" t="s">
        <v>58</v>
      </c>
      <c r="W95" s="1">
        <v>44853</v>
      </c>
      <c r="X95" s="1">
        <v>44854</v>
      </c>
      <c r="Y95" s="5">
        <f>IF(Table1[[#This Row],[NPA_Flag]]=1, Table1[[#This Row],[Outstanding_Amount]], 0)</f>
        <v>0</v>
      </c>
      <c r="Z95" s="1">
        <v>46053</v>
      </c>
    </row>
    <row r="96" spans="1:26" x14ac:dyDescent="0.25">
      <c r="A96" t="s">
        <v>237</v>
      </c>
      <c r="B96" t="s">
        <v>238</v>
      </c>
      <c r="C96" t="s">
        <v>38</v>
      </c>
      <c r="D96" t="s">
        <v>39</v>
      </c>
      <c r="E96" t="s">
        <v>45</v>
      </c>
      <c r="F96" t="s">
        <v>54</v>
      </c>
      <c r="G96">
        <v>5049711</v>
      </c>
      <c r="H96">
        <v>4468104</v>
      </c>
      <c r="I96">
        <v>581607</v>
      </c>
      <c r="J96">
        <v>0.88</v>
      </c>
      <c r="K96">
        <v>12.18</v>
      </c>
      <c r="L96">
        <v>59</v>
      </c>
      <c r="M96" t="s">
        <v>55</v>
      </c>
      <c r="N96">
        <v>0</v>
      </c>
      <c r="O96" t="s">
        <v>56</v>
      </c>
      <c r="P96">
        <v>0</v>
      </c>
      <c r="Q96">
        <v>0</v>
      </c>
      <c r="R96" t="s">
        <v>33</v>
      </c>
      <c r="S96" t="s">
        <v>79</v>
      </c>
      <c r="T96">
        <v>5</v>
      </c>
      <c r="U96">
        <v>285662688</v>
      </c>
      <c r="V96" t="s">
        <v>49</v>
      </c>
      <c r="W96" s="1">
        <v>44827</v>
      </c>
      <c r="X96" s="1">
        <v>44831</v>
      </c>
      <c r="Y96" s="5">
        <f>IF(Table1[[#This Row],[NPA_Flag]]=1, Table1[[#This Row],[Outstanding_Amount]], 0)</f>
        <v>0</v>
      </c>
      <c r="Z96" s="1">
        <v>46053</v>
      </c>
    </row>
    <row r="97" spans="1:26" x14ac:dyDescent="0.25">
      <c r="A97" t="s">
        <v>239</v>
      </c>
      <c r="B97" t="s">
        <v>149</v>
      </c>
      <c r="C97" t="s">
        <v>38</v>
      </c>
      <c r="D97" t="s">
        <v>52</v>
      </c>
      <c r="E97" t="s">
        <v>94</v>
      </c>
      <c r="F97" t="s">
        <v>46</v>
      </c>
      <c r="G97">
        <v>2607186</v>
      </c>
      <c r="H97">
        <v>1816171</v>
      </c>
      <c r="I97">
        <v>791015</v>
      </c>
      <c r="J97">
        <v>0.7</v>
      </c>
      <c r="K97">
        <v>10.1</v>
      </c>
      <c r="L97">
        <v>8</v>
      </c>
      <c r="M97" t="s">
        <v>31</v>
      </c>
      <c r="N97">
        <v>0</v>
      </c>
      <c r="O97" t="s">
        <v>32</v>
      </c>
      <c r="P97">
        <v>0</v>
      </c>
      <c r="Q97">
        <v>3</v>
      </c>
      <c r="R97" t="s">
        <v>41</v>
      </c>
      <c r="S97" t="s">
        <v>57</v>
      </c>
      <c r="T97">
        <v>15</v>
      </c>
      <c r="U97">
        <v>309417597</v>
      </c>
      <c r="V97" t="s">
        <v>49</v>
      </c>
      <c r="W97" s="1">
        <v>43958</v>
      </c>
      <c r="X97" s="1">
        <v>43960</v>
      </c>
      <c r="Y97" s="5">
        <f>IF(Table1[[#This Row],[NPA_Flag]]=1, Table1[[#This Row],[Outstanding_Amount]], 0)</f>
        <v>0</v>
      </c>
      <c r="Z97" s="1">
        <v>46053</v>
      </c>
    </row>
    <row r="98" spans="1:26" x14ac:dyDescent="0.25">
      <c r="A98" t="s">
        <v>240</v>
      </c>
      <c r="B98" t="s">
        <v>153</v>
      </c>
      <c r="C98" t="s">
        <v>44</v>
      </c>
      <c r="D98" t="s">
        <v>28</v>
      </c>
      <c r="E98" t="s">
        <v>40</v>
      </c>
      <c r="F98" t="s">
        <v>54</v>
      </c>
      <c r="G98">
        <v>10639608</v>
      </c>
      <c r="H98">
        <v>7774118</v>
      </c>
      <c r="I98">
        <v>2865490</v>
      </c>
      <c r="J98">
        <v>0.73</v>
      </c>
      <c r="K98">
        <v>13.89</v>
      </c>
      <c r="L98">
        <v>2</v>
      </c>
      <c r="M98" t="s">
        <v>31</v>
      </c>
      <c r="N98">
        <v>0</v>
      </c>
      <c r="O98" t="s">
        <v>32</v>
      </c>
      <c r="P98">
        <v>0</v>
      </c>
      <c r="Q98">
        <v>0</v>
      </c>
      <c r="R98" t="s">
        <v>33</v>
      </c>
      <c r="S98" t="s">
        <v>48</v>
      </c>
      <c r="T98">
        <v>11</v>
      </c>
      <c r="U98">
        <v>335868871</v>
      </c>
      <c r="V98" t="s">
        <v>65</v>
      </c>
      <c r="W98" s="1">
        <v>44929</v>
      </c>
      <c r="X98" s="1">
        <v>44939</v>
      </c>
      <c r="Y98" s="5">
        <f>IF(Table1[[#This Row],[NPA_Flag]]=1, Table1[[#This Row],[Outstanding_Amount]], 0)</f>
        <v>0</v>
      </c>
      <c r="Z98" s="1">
        <v>46053</v>
      </c>
    </row>
    <row r="99" spans="1:26" x14ac:dyDescent="0.25">
      <c r="A99" t="s">
        <v>241</v>
      </c>
      <c r="B99" t="s">
        <v>194</v>
      </c>
      <c r="C99" t="s">
        <v>44</v>
      </c>
      <c r="D99" t="s">
        <v>61</v>
      </c>
      <c r="E99" t="s">
        <v>102</v>
      </c>
      <c r="F99" t="s">
        <v>46</v>
      </c>
      <c r="G99">
        <v>4519236</v>
      </c>
      <c r="H99">
        <v>4276076</v>
      </c>
      <c r="I99">
        <v>243160</v>
      </c>
      <c r="J99">
        <v>0.95</v>
      </c>
      <c r="K99">
        <v>13.56</v>
      </c>
      <c r="L99">
        <v>5</v>
      </c>
      <c r="M99" t="s">
        <v>31</v>
      </c>
      <c r="N99">
        <v>0</v>
      </c>
      <c r="O99" t="s">
        <v>32</v>
      </c>
      <c r="P99">
        <v>0</v>
      </c>
      <c r="Q99">
        <v>0</v>
      </c>
      <c r="R99" t="s">
        <v>33</v>
      </c>
      <c r="S99" t="s">
        <v>79</v>
      </c>
      <c r="T99">
        <v>3</v>
      </c>
      <c r="U99">
        <v>449040679</v>
      </c>
      <c r="V99" t="s">
        <v>58</v>
      </c>
      <c r="W99" s="1">
        <v>43923</v>
      </c>
      <c r="X99" s="1">
        <v>43929</v>
      </c>
      <c r="Y99" s="5">
        <f>IF(Table1[[#This Row],[NPA_Flag]]=1, Table1[[#This Row],[Outstanding_Amount]], 0)</f>
        <v>0</v>
      </c>
      <c r="Z99" s="1">
        <v>46053</v>
      </c>
    </row>
    <row r="100" spans="1:26" x14ac:dyDescent="0.25">
      <c r="A100" t="s">
        <v>242</v>
      </c>
      <c r="B100" t="s">
        <v>96</v>
      </c>
      <c r="C100" t="s">
        <v>44</v>
      </c>
      <c r="D100" t="s">
        <v>61</v>
      </c>
      <c r="E100" t="s">
        <v>85</v>
      </c>
      <c r="F100" t="s">
        <v>46</v>
      </c>
      <c r="G100">
        <v>13873580</v>
      </c>
      <c r="H100">
        <v>12511334</v>
      </c>
      <c r="I100">
        <v>1362246</v>
      </c>
      <c r="J100">
        <v>0.9</v>
      </c>
      <c r="K100">
        <v>11.53</v>
      </c>
      <c r="L100">
        <v>2</v>
      </c>
      <c r="M100" t="s">
        <v>31</v>
      </c>
      <c r="N100">
        <v>0</v>
      </c>
      <c r="O100" t="s">
        <v>32</v>
      </c>
      <c r="P100">
        <v>0</v>
      </c>
      <c r="Q100">
        <v>2</v>
      </c>
      <c r="R100" t="s">
        <v>41</v>
      </c>
      <c r="S100" t="s">
        <v>79</v>
      </c>
      <c r="T100">
        <v>13</v>
      </c>
      <c r="U100">
        <v>357631069</v>
      </c>
      <c r="V100" t="s">
        <v>65</v>
      </c>
      <c r="W100" s="1">
        <v>45253</v>
      </c>
      <c r="X100" s="1">
        <v>45258</v>
      </c>
      <c r="Y100" s="5">
        <f>IF(Table1[[#This Row],[NPA_Flag]]=1, Table1[[#This Row],[Outstanding_Amount]], 0)</f>
        <v>0</v>
      </c>
      <c r="Z100" s="1">
        <v>46053</v>
      </c>
    </row>
    <row r="101" spans="1:26" x14ac:dyDescent="0.25">
      <c r="A101" t="s">
        <v>243</v>
      </c>
      <c r="B101" t="s">
        <v>244</v>
      </c>
      <c r="C101" t="s">
        <v>78</v>
      </c>
      <c r="D101" t="s">
        <v>39</v>
      </c>
      <c r="E101" t="s">
        <v>53</v>
      </c>
      <c r="F101" t="s">
        <v>54</v>
      </c>
      <c r="G101">
        <v>11705077</v>
      </c>
      <c r="H101">
        <v>8662704</v>
      </c>
      <c r="I101">
        <v>3042373</v>
      </c>
      <c r="J101">
        <v>0.74</v>
      </c>
      <c r="K101">
        <v>9.73</v>
      </c>
      <c r="L101">
        <v>16</v>
      </c>
      <c r="M101" t="s">
        <v>31</v>
      </c>
      <c r="N101">
        <v>0</v>
      </c>
      <c r="O101" t="s">
        <v>32</v>
      </c>
      <c r="P101">
        <v>1</v>
      </c>
      <c r="Q101">
        <v>1</v>
      </c>
      <c r="R101" t="s">
        <v>47</v>
      </c>
      <c r="S101" t="s">
        <v>57</v>
      </c>
      <c r="T101">
        <v>5</v>
      </c>
      <c r="U101">
        <v>419705885</v>
      </c>
      <c r="V101" t="s">
        <v>58</v>
      </c>
      <c r="W101" s="1">
        <v>44685</v>
      </c>
      <c r="X101" s="1">
        <v>44693</v>
      </c>
      <c r="Y101" s="5">
        <f>IF(Table1[[#This Row],[NPA_Flag]]=1, Table1[[#This Row],[Outstanding_Amount]], 0)</f>
        <v>0</v>
      </c>
      <c r="Z101" s="1">
        <v>46053</v>
      </c>
    </row>
    <row r="102" spans="1:26" x14ac:dyDescent="0.25">
      <c r="A102" t="s">
        <v>245</v>
      </c>
      <c r="B102" t="s">
        <v>177</v>
      </c>
      <c r="C102" t="s">
        <v>27</v>
      </c>
      <c r="D102" t="s">
        <v>61</v>
      </c>
      <c r="E102" t="s">
        <v>29</v>
      </c>
      <c r="F102" t="s">
        <v>68</v>
      </c>
      <c r="G102">
        <v>13240689</v>
      </c>
      <c r="H102">
        <v>9420212</v>
      </c>
      <c r="I102">
        <v>3820477</v>
      </c>
      <c r="J102">
        <v>0.71</v>
      </c>
      <c r="K102">
        <v>9.5500000000000007</v>
      </c>
      <c r="L102">
        <v>4</v>
      </c>
      <c r="M102" t="s">
        <v>31</v>
      </c>
      <c r="N102">
        <v>0</v>
      </c>
      <c r="O102" t="s">
        <v>32</v>
      </c>
      <c r="P102">
        <v>1</v>
      </c>
      <c r="Q102">
        <v>0</v>
      </c>
      <c r="R102" t="s">
        <v>41</v>
      </c>
      <c r="S102" t="s">
        <v>34</v>
      </c>
      <c r="T102">
        <v>3</v>
      </c>
      <c r="U102">
        <v>493276064</v>
      </c>
      <c r="V102" t="s">
        <v>58</v>
      </c>
      <c r="W102" s="1">
        <v>44143</v>
      </c>
      <c r="X102" s="1">
        <v>44150</v>
      </c>
      <c r="Y102" s="5">
        <f>IF(Table1[[#This Row],[NPA_Flag]]=1, Table1[[#This Row],[Outstanding_Amount]], 0)</f>
        <v>0</v>
      </c>
      <c r="Z102" s="1">
        <v>46053</v>
      </c>
    </row>
    <row r="103" spans="1:26" x14ac:dyDescent="0.25">
      <c r="A103" t="s">
        <v>246</v>
      </c>
      <c r="B103" t="s">
        <v>225</v>
      </c>
      <c r="C103" t="s">
        <v>27</v>
      </c>
      <c r="D103" t="s">
        <v>61</v>
      </c>
      <c r="E103" t="s">
        <v>102</v>
      </c>
      <c r="F103" t="s">
        <v>54</v>
      </c>
      <c r="G103">
        <v>10508912</v>
      </c>
      <c r="H103">
        <v>9945746</v>
      </c>
      <c r="I103">
        <v>563166</v>
      </c>
      <c r="J103">
        <v>0.95</v>
      </c>
      <c r="K103">
        <v>10.45</v>
      </c>
      <c r="L103">
        <v>23</v>
      </c>
      <c r="M103" t="s">
        <v>31</v>
      </c>
      <c r="N103">
        <v>0</v>
      </c>
      <c r="O103" t="s">
        <v>32</v>
      </c>
      <c r="P103">
        <v>1</v>
      </c>
      <c r="Q103">
        <v>3</v>
      </c>
      <c r="R103" t="s">
        <v>33</v>
      </c>
      <c r="S103" t="s">
        <v>57</v>
      </c>
      <c r="T103">
        <v>13</v>
      </c>
      <c r="U103">
        <v>94061249</v>
      </c>
      <c r="V103" t="s">
        <v>35</v>
      </c>
      <c r="W103" s="1">
        <v>44312</v>
      </c>
      <c r="X103" s="1">
        <v>44319</v>
      </c>
      <c r="Y103" s="5">
        <f>IF(Table1[[#This Row],[NPA_Flag]]=1, Table1[[#This Row],[Outstanding_Amount]], 0)</f>
        <v>0</v>
      </c>
      <c r="Z103" s="1">
        <v>46053</v>
      </c>
    </row>
    <row r="104" spans="1:26" x14ac:dyDescent="0.25">
      <c r="A104" t="s">
        <v>247</v>
      </c>
      <c r="B104" t="s">
        <v>248</v>
      </c>
      <c r="C104" t="s">
        <v>38</v>
      </c>
      <c r="D104" t="s">
        <v>39</v>
      </c>
      <c r="E104" t="s">
        <v>85</v>
      </c>
      <c r="F104" t="s">
        <v>30</v>
      </c>
      <c r="G104">
        <v>5952795</v>
      </c>
      <c r="H104">
        <v>4037414</v>
      </c>
      <c r="I104">
        <v>1915381</v>
      </c>
      <c r="J104">
        <v>0.68</v>
      </c>
      <c r="K104">
        <v>9.35</v>
      </c>
      <c r="L104">
        <v>14</v>
      </c>
      <c r="M104" t="s">
        <v>31</v>
      </c>
      <c r="N104">
        <v>0</v>
      </c>
      <c r="O104" t="s">
        <v>32</v>
      </c>
      <c r="P104">
        <v>0</v>
      </c>
      <c r="Q104">
        <v>5</v>
      </c>
      <c r="R104" t="s">
        <v>33</v>
      </c>
      <c r="S104" t="s">
        <v>79</v>
      </c>
      <c r="T104">
        <v>9</v>
      </c>
      <c r="U104">
        <v>292106333</v>
      </c>
      <c r="V104" t="s">
        <v>58</v>
      </c>
      <c r="W104" s="1">
        <v>45148</v>
      </c>
      <c r="X104" s="1">
        <v>45154</v>
      </c>
      <c r="Y104" s="5">
        <f>IF(Table1[[#This Row],[NPA_Flag]]=1, Table1[[#This Row],[Outstanding_Amount]], 0)</f>
        <v>0</v>
      </c>
      <c r="Z104" s="1">
        <v>46053</v>
      </c>
    </row>
    <row r="105" spans="1:26" x14ac:dyDescent="0.25">
      <c r="A105" t="s">
        <v>249</v>
      </c>
      <c r="B105" t="s">
        <v>250</v>
      </c>
      <c r="C105" t="s">
        <v>44</v>
      </c>
      <c r="D105" t="s">
        <v>28</v>
      </c>
      <c r="E105" t="s">
        <v>45</v>
      </c>
      <c r="F105" t="s">
        <v>46</v>
      </c>
      <c r="G105">
        <v>13672077</v>
      </c>
      <c r="H105">
        <v>10275951</v>
      </c>
      <c r="I105">
        <v>3396126</v>
      </c>
      <c r="J105">
        <v>0.75</v>
      </c>
      <c r="K105">
        <v>10.9</v>
      </c>
      <c r="L105">
        <v>29</v>
      </c>
      <c r="M105" t="s">
        <v>31</v>
      </c>
      <c r="N105">
        <v>0</v>
      </c>
      <c r="O105" t="s">
        <v>32</v>
      </c>
      <c r="P105">
        <v>1</v>
      </c>
      <c r="Q105">
        <v>5</v>
      </c>
      <c r="R105" t="s">
        <v>41</v>
      </c>
      <c r="S105" t="s">
        <v>57</v>
      </c>
      <c r="T105">
        <v>16</v>
      </c>
      <c r="U105">
        <v>250086504</v>
      </c>
      <c r="V105" t="s">
        <v>35</v>
      </c>
      <c r="W105" s="1">
        <v>44957</v>
      </c>
      <c r="X105" s="1">
        <v>44967</v>
      </c>
      <c r="Y105" s="5">
        <f>IF(Table1[[#This Row],[NPA_Flag]]=1, Table1[[#This Row],[Outstanding_Amount]], 0)</f>
        <v>0</v>
      </c>
      <c r="Z105" s="1">
        <v>46053</v>
      </c>
    </row>
    <row r="106" spans="1:26" x14ac:dyDescent="0.25">
      <c r="A106" t="s">
        <v>251</v>
      </c>
      <c r="B106" t="s">
        <v>134</v>
      </c>
      <c r="C106" t="s">
        <v>38</v>
      </c>
      <c r="D106" t="s">
        <v>39</v>
      </c>
      <c r="E106" t="s">
        <v>94</v>
      </c>
      <c r="F106" t="s">
        <v>68</v>
      </c>
      <c r="G106">
        <v>8510691</v>
      </c>
      <c r="H106">
        <v>7205698</v>
      </c>
      <c r="I106">
        <v>1304993</v>
      </c>
      <c r="J106">
        <v>0.85</v>
      </c>
      <c r="K106">
        <v>13.91</v>
      </c>
      <c r="L106">
        <v>11</v>
      </c>
      <c r="M106" t="s">
        <v>31</v>
      </c>
      <c r="N106">
        <v>0</v>
      </c>
      <c r="O106" t="s">
        <v>32</v>
      </c>
      <c r="P106">
        <v>0</v>
      </c>
      <c r="Q106">
        <v>5</v>
      </c>
      <c r="R106" t="s">
        <v>33</v>
      </c>
      <c r="S106" t="s">
        <v>48</v>
      </c>
      <c r="T106">
        <v>8</v>
      </c>
      <c r="U106">
        <v>380967641</v>
      </c>
      <c r="V106" t="s">
        <v>65</v>
      </c>
      <c r="W106" s="1">
        <v>44863</v>
      </c>
      <c r="X106" s="1">
        <v>44865</v>
      </c>
      <c r="Y106" s="5">
        <f>IF(Table1[[#This Row],[NPA_Flag]]=1, Table1[[#This Row],[Outstanding_Amount]], 0)</f>
        <v>0</v>
      </c>
      <c r="Z106" s="1">
        <v>46053</v>
      </c>
    </row>
    <row r="107" spans="1:26" x14ac:dyDescent="0.25">
      <c r="A107" t="s">
        <v>252</v>
      </c>
      <c r="B107" t="s">
        <v>93</v>
      </c>
      <c r="C107" t="s">
        <v>27</v>
      </c>
      <c r="D107" t="s">
        <v>39</v>
      </c>
      <c r="E107" t="s">
        <v>73</v>
      </c>
      <c r="F107" t="s">
        <v>54</v>
      </c>
      <c r="G107">
        <v>11078607</v>
      </c>
      <c r="H107">
        <v>7996975</v>
      </c>
      <c r="I107">
        <v>3081632</v>
      </c>
      <c r="J107">
        <v>0.72</v>
      </c>
      <c r="K107">
        <v>13.53</v>
      </c>
      <c r="L107">
        <v>0</v>
      </c>
      <c r="M107" t="s">
        <v>31</v>
      </c>
      <c r="N107">
        <v>0</v>
      </c>
      <c r="O107" t="s">
        <v>32</v>
      </c>
      <c r="P107">
        <v>0</v>
      </c>
      <c r="Q107">
        <v>2</v>
      </c>
      <c r="R107" t="s">
        <v>91</v>
      </c>
      <c r="S107" t="s">
        <v>34</v>
      </c>
      <c r="T107">
        <v>21</v>
      </c>
      <c r="U107">
        <v>497291461</v>
      </c>
      <c r="V107" t="s">
        <v>49</v>
      </c>
      <c r="W107" s="1">
        <v>44940</v>
      </c>
      <c r="X107" s="1">
        <v>44948</v>
      </c>
      <c r="Y107" s="5">
        <f>IF(Table1[[#This Row],[NPA_Flag]]=1, Table1[[#This Row],[Outstanding_Amount]], 0)</f>
        <v>0</v>
      </c>
      <c r="Z107" s="1">
        <v>46053</v>
      </c>
    </row>
    <row r="108" spans="1:26" x14ac:dyDescent="0.25">
      <c r="A108" t="s">
        <v>253</v>
      </c>
      <c r="B108" t="s">
        <v>254</v>
      </c>
      <c r="C108" t="s">
        <v>27</v>
      </c>
      <c r="D108" t="s">
        <v>61</v>
      </c>
      <c r="E108" t="s">
        <v>102</v>
      </c>
      <c r="F108" t="s">
        <v>68</v>
      </c>
      <c r="G108">
        <v>12449394</v>
      </c>
      <c r="H108">
        <v>10707855</v>
      </c>
      <c r="I108">
        <v>1741539</v>
      </c>
      <c r="J108">
        <v>0.86</v>
      </c>
      <c r="K108">
        <v>12.62</v>
      </c>
      <c r="L108">
        <v>17</v>
      </c>
      <c r="M108" t="s">
        <v>31</v>
      </c>
      <c r="N108">
        <v>0</v>
      </c>
      <c r="O108" t="s">
        <v>32</v>
      </c>
      <c r="P108">
        <v>0</v>
      </c>
      <c r="Q108">
        <v>1</v>
      </c>
      <c r="R108" t="s">
        <v>91</v>
      </c>
      <c r="S108" t="s">
        <v>48</v>
      </c>
      <c r="T108">
        <v>2</v>
      </c>
      <c r="U108">
        <v>16069811</v>
      </c>
      <c r="V108" t="s">
        <v>35</v>
      </c>
      <c r="W108" s="1">
        <v>45142</v>
      </c>
      <c r="X108" s="1">
        <v>45149</v>
      </c>
      <c r="Y108" s="5">
        <f>IF(Table1[[#This Row],[NPA_Flag]]=1, Table1[[#This Row],[Outstanding_Amount]], 0)</f>
        <v>0</v>
      </c>
      <c r="Z108" s="1">
        <v>46053</v>
      </c>
    </row>
    <row r="109" spans="1:26" x14ac:dyDescent="0.25">
      <c r="A109" t="s">
        <v>255</v>
      </c>
      <c r="B109" t="s">
        <v>256</v>
      </c>
      <c r="C109" t="s">
        <v>78</v>
      </c>
      <c r="D109" t="s">
        <v>28</v>
      </c>
      <c r="E109" t="s">
        <v>102</v>
      </c>
      <c r="F109" t="s">
        <v>30</v>
      </c>
      <c r="G109">
        <v>4043078</v>
      </c>
      <c r="H109">
        <v>2623667</v>
      </c>
      <c r="I109">
        <v>1419411</v>
      </c>
      <c r="J109">
        <v>0.65</v>
      </c>
      <c r="K109">
        <v>10.83</v>
      </c>
      <c r="L109">
        <v>28</v>
      </c>
      <c r="M109" t="s">
        <v>31</v>
      </c>
      <c r="N109">
        <v>0</v>
      </c>
      <c r="O109" t="s">
        <v>32</v>
      </c>
      <c r="P109">
        <v>1</v>
      </c>
      <c r="Q109">
        <v>4</v>
      </c>
      <c r="R109" t="s">
        <v>33</v>
      </c>
      <c r="S109" t="s">
        <v>64</v>
      </c>
      <c r="T109">
        <v>8</v>
      </c>
      <c r="U109">
        <v>472840153</v>
      </c>
      <c r="V109" t="s">
        <v>58</v>
      </c>
      <c r="W109" s="1">
        <v>44364</v>
      </c>
      <c r="X109" s="1">
        <v>44368</v>
      </c>
      <c r="Y109" s="5">
        <f>IF(Table1[[#This Row],[NPA_Flag]]=1, Table1[[#This Row],[Outstanding_Amount]], 0)</f>
        <v>0</v>
      </c>
      <c r="Z109" s="1">
        <v>46053</v>
      </c>
    </row>
    <row r="110" spans="1:26" x14ac:dyDescent="0.25">
      <c r="A110" t="s">
        <v>257</v>
      </c>
      <c r="B110" t="s">
        <v>228</v>
      </c>
      <c r="C110" t="s">
        <v>27</v>
      </c>
      <c r="D110" t="s">
        <v>39</v>
      </c>
      <c r="E110" t="s">
        <v>102</v>
      </c>
      <c r="F110" t="s">
        <v>46</v>
      </c>
      <c r="G110">
        <v>11258109</v>
      </c>
      <c r="H110">
        <v>7377767</v>
      </c>
      <c r="I110">
        <v>3880342</v>
      </c>
      <c r="J110">
        <v>0.66</v>
      </c>
      <c r="K110">
        <v>10.17</v>
      </c>
      <c r="L110">
        <v>8</v>
      </c>
      <c r="M110" t="s">
        <v>31</v>
      </c>
      <c r="N110">
        <v>0</v>
      </c>
      <c r="O110" t="s">
        <v>32</v>
      </c>
      <c r="P110">
        <v>1</v>
      </c>
      <c r="Q110">
        <v>0</v>
      </c>
      <c r="R110" t="s">
        <v>91</v>
      </c>
      <c r="S110" t="s">
        <v>64</v>
      </c>
      <c r="T110">
        <v>9</v>
      </c>
      <c r="U110">
        <v>120790152</v>
      </c>
      <c r="V110" t="s">
        <v>35</v>
      </c>
      <c r="W110" s="1">
        <v>43835</v>
      </c>
      <c r="X110" s="1">
        <v>43838</v>
      </c>
      <c r="Y110" s="5">
        <f>IF(Table1[[#This Row],[NPA_Flag]]=1, Table1[[#This Row],[Outstanding_Amount]], 0)</f>
        <v>0</v>
      </c>
      <c r="Z110" s="1">
        <v>46053</v>
      </c>
    </row>
    <row r="111" spans="1:26" x14ac:dyDescent="0.25">
      <c r="A111" t="s">
        <v>258</v>
      </c>
      <c r="B111" t="s">
        <v>259</v>
      </c>
      <c r="C111" t="s">
        <v>38</v>
      </c>
      <c r="D111" t="s">
        <v>61</v>
      </c>
      <c r="E111" t="s">
        <v>73</v>
      </c>
      <c r="F111" t="s">
        <v>54</v>
      </c>
      <c r="G111">
        <v>2431546</v>
      </c>
      <c r="H111">
        <v>1547437</v>
      </c>
      <c r="I111">
        <v>884109</v>
      </c>
      <c r="J111">
        <v>0.64</v>
      </c>
      <c r="K111">
        <v>9.8000000000000007</v>
      </c>
      <c r="L111">
        <v>7</v>
      </c>
      <c r="M111" t="s">
        <v>31</v>
      </c>
      <c r="N111">
        <v>0</v>
      </c>
      <c r="O111" t="s">
        <v>32</v>
      </c>
      <c r="P111">
        <v>1</v>
      </c>
      <c r="Q111">
        <v>3</v>
      </c>
      <c r="R111" t="s">
        <v>91</v>
      </c>
      <c r="S111" t="s">
        <v>64</v>
      </c>
      <c r="T111">
        <v>9</v>
      </c>
      <c r="U111">
        <v>22584210</v>
      </c>
      <c r="V111" t="s">
        <v>65</v>
      </c>
      <c r="W111" s="1">
        <v>44359</v>
      </c>
      <c r="X111" s="1">
        <v>44367</v>
      </c>
      <c r="Y111" s="5">
        <f>IF(Table1[[#This Row],[NPA_Flag]]=1, Table1[[#This Row],[Outstanding_Amount]], 0)</f>
        <v>0</v>
      </c>
      <c r="Z111" s="1">
        <v>46053</v>
      </c>
    </row>
    <row r="112" spans="1:26" x14ac:dyDescent="0.25">
      <c r="A112" t="s">
        <v>260</v>
      </c>
      <c r="B112" t="s">
        <v>179</v>
      </c>
      <c r="C112" t="s">
        <v>78</v>
      </c>
      <c r="D112" t="s">
        <v>39</v>
      </c>
      <c r="E112" t="s">
        <v>94</v>
      </c>
      <c r="F112" t="s">
        <v>30</v>
      </c>
      <c r="G112">
        <v>4244956</v>
      </c>
      <c r="H112">
        <v>3375048</v>
      </c>
      <c r="I112">
        <v>869908</v>
      </c>
      <c r="J112">
        <v>0.8</v>
      </c>
      <c r="K112">
        <v>13.06</v>
      </c>
      <c r="L112">
        <v>16</v>
      </c>
      <c r="M112" t="s">
        <v>31</v>
      </c>
      <c r="N112">
        <v>0</v>
      </c>
      <c r="O112" t="s">
        <v>32</v>
      </c>
      <c r="P112">
        <v>1</v>
      </c>
      <c r="Q112">
        <v>1</v>
      </c>
      <c r="R112" t="s">
        <v>33</v>
      </c>
      <c r="S112" t="s">
        <v>64</v>
      </c>
      <c r="T112">
        <v>1</v>
      </c>
      <c r="U112">
        <v>471570779</v>
      </c>
      <c r="V112" t="s">
        <v>58</v>
      </c>
      <c r="W112" s="1">
        <v>44932</v>
      </c>
      <c r="X112" s="1">
        <v>44938</v>
      </c>
      <c r="Y112" s="5">
        <f>IF(Table1[[#This Row],[NPA_Flag]]=1, Table1[[#This Row],[Outstanding_Amount]], 0)</f>
        <v>0</v>
      </c>
      <c r="Z112" s="1">
        <v>46053</v>
      </c>
    </row>
    <row r="113" spans="1:26" x14ac:dyDescent="0.25">
      <c r="A113" t="s">
        <v>261</v>
      </c>
      <c r="B113" t="s">
        <v>262</v>
      </c>
      <c r="C113" t="s">
        <v>27</v>
      </c>
      <c r="D113" t="s">
        <v>39</v>
      </c>
      <c r="E113" t="s">
        <v>82</v>
      </c>
      <c r="F113" t="s">
        <v>68</v>
      </c>
      <c r="G113">
        <v>12796432</v>
      </c>
      <c r="H113">
        <v>10991462</v>
      </c>
      <c r="I113">
        <v>1804970</v>
      </c>
      <c r="J113">
        <v>0.86</v>
      </c>
      <c r="K113">
        <v>14.08</v>
      </c>
      <c r="L113">
        <v>9</v>
      </c>
      <c r="M113" t="s">
        <v>31</v>
      </c>
      <c r="N113">
        <v>0</v>
      </c>
      <c r="O113" t="s">
        <v>32</v>
      </c>
      <c r="P113">
        <v>1</v>
      </c>
      <c r="Q113">
        <v>4</v>
      </c>
      <c r="R113" t="s">
        <v>33</v>
      </c>
      <c r="S113" t="s">
        <v>34</v>
      </c>
      <c r="T113">
        <v>20</v>
      </c>
      <c r="U113">
        <v>77819163</v>
      </c>
      <c r="V113" t="s">
        <v>65</v>
      </c>
      <c r="W113" s="1">
        <v>44786</v>
      </c>
      <c r="X113" s="1">
        <v>44788</v>
      </c>
      <c r="Y113" s="5">
        <f>IF(Table1[[#This Row],[NPA_Flag]]=1, Table1[[#This Row],[Outstanding_Amount]], 0)</f>
        <v>0</v>
      </c>
      <c r="Z113" s="1">
        <v>46053</v>
      </c>
    </row>
    <row r="114" spans="1:26" x14ac:dyDescent="0.25">
      <c r="A114" t="s">
        <v>263</v>
      </c>
      <c r="B114" t="s">
        <v>264</v>
      </c>
      <c r="C114" t="s">
        <v>38</v>
      </c>
      <c r="D114" t="s">
        <v>39</v>
      </c>
      <c r="E114" t="s">
        <v>82</v>
      </c>
      <c r="F114" t="s">
        <v>30</v>
      </c>
      <c r="G114">
        <v>4318183</v>
      </c>
      <c r="H114">
        <v>3610382</v>
      </c>
      <c r="I114">
        <v>707801</v>
      </c>
      <c r="J114">
        <v>0.84</v>
      </c>
      <c r="K114">
        <v>11.83</v>
      </c>
      <c r="L114">
        <v>27</v>
      </c>
      <c r="M114" t="s">
        <v>31</v>
      </c>
      <c r="N114">
        <v>0</v>
      </c>
      <c r="O114" t="s">
        <v>32</v>
      </c>
      <c r="P114">
        <v>1</v>
      </c>
      <c r="Q114">
        <v>2</v>
      </c>
      <c r="R114" t="s">
        <v>91</v>
      </c>
      <c r="S114" t="s">
        <v>79</v>
      </c>
      <c r="T114">
        <v>3</v>
      </c>
      <c r="U114">
        <v>55100257</v>
      </c>
      <c r="V114" t="s">
        <v>65</v>
      </c>
      <c r="W114" s="1">
        <v>45294</v>
      </c>
      <c r="X114" s="1">
        <v>45304</v>
      </c>
      <c r="Y114" s="5">
        <f>IF(Table1[[#This Row],[NPA_Flag]]=1, Table1[[#This Row],[Outstanding_Amount]], 0)</f>
        <v>0</v>
      </c>
      <c r="Z114" s="1">
        <v>46053</v>
      </c>
    </row>
    <row r="115" spans="1:26" x14ac:dyDescent="0.25">
      <c r="A115" t="s">
        <v>265</v>
      </c>
      <c r="B115" t="s">
        <v>125</v>
      </c>
      <c r="C115" t="s">
        <v>44</v>
      </c>
      <c r="D115" t="s">
        <v>52</v>
      </c>
      <c r="E115" t="s">
        <v>40</v>
      </c>
      <c r="F115" t="s">
        <v>46</v>
      </c>
      <c r="G115">
        <v>2575767</v>
      </c>
      <c r="H115">
        <v>2138252</v>
      </c>
      <c r="I115">
        <v>437515</v>
      </c>
      <c r="J115">
        <v>0.83</v>
      </c>
      <c r="K115">
        <v>11.37</v>
      </c>
      <c r="L115">
        <v>21</v>
      </c>
      <c r="M115" t="s">
        <v>31</v>
      </c>
      <c r="N115">
        <v>0</v>
      </c>
      <c r="O115" t="s">
        <v>32</v>
      </c>
      <c r="P115">
        <v>1</v>
      </c>
      <c r="Q115">
        <v>2</v>
      </c>
      <c r="R115" t="s">
        <v>41</v>
      </c>
      <c r="S115" t="s">
        <v>34</v>
      </c>
      <c r="T115">
        <v>7</v>
      </c>
      <c r="U115">
        <v>496739871</v>
      </c>
      <c r="V115" t="s">
        <v>58</v>
      </c>
      <c r="W115" s="1">
        <v>43935</v>
      </c>
      <c r="X115" s="1">
        <v>43940</v>
      </c>
      <c r="Y115" s="5">
        <f>IF(Table1[[#This Row],[NPA_Flag]]=1, Table1[[#This Row],[Outstanding_Amount]], 0)</f>
        <v>0</v>
      </c>
      <c r="Z115" s="1">
        <v>46053</v>
      </c>
    </row>
    <row r="116" spans="1:26" x14ac:dyDescent="0.25">
      <c r="A116" t="s">
        <v>266</v>
      </c>
      <c r="B116" t="s">
        <v>217</v>
      </c>
      <c r="C116" t="s">
        <v>27</v>
      </c>
      <c r="D116" t="s">
        <v>28</v>
      </c>
      <c r="E116" t="s">
        <v>40</v>
      </c>
      <c r="F116" t="s">
        <v>30</v>
      </c>
      <c r="G116">
        <v>12086051</v>
      </c>
      <c r="H116">
        <v>10848699</v>
      </c>
      <c r="I116">
        <v>1237352</v>
      </c>
      <c r="J116">
        <v>0.9</v>
      </c>
      <c r="K116">
        <v>12.89</v>
      </c>
      <c r="L116">
        <v>6</v>
      </c>
      <c r="M116" t="s">
        <v>31</v>
      </c>
      <c r="N116">
        <v>0</v>
      </c>
      <c r="O116" t="s">
        <v>32</v>
      </c>
      <c r="P116">
        <v>0</v>
      </c>
      <c r="Q116">
        <v>2</v>
      </c>
      <c r="R116" t="s">
        <v>33</v>
      </c>
      <c r="S116" t="s">
        <v>48</v>
      </c>
      <c r="T116">
        <v>16</v>
      </c>
      <c r="U116">
        <v>441040276</v>
      </c>
      <c r="V116" t="s">
        <v>35</v>
      </c>
      <c r="W116" s="1">
        <v>45219</v>
      </c>
      <c r="X116" s="1">
        <v>45221</v>
      </c>
      <c r="Y116" s="5">
        <f>IF(Table1[[#This Row],[NPA_Flag]]=1, Table1[[#This Row],[Outstanding_Amount]], 0)</f>
        <v>0</v>
      </c>
      <c r="Z116" s="1">
        <v>46053</v>
      </c>
    </row>
    <row r="117" spans="1:26" x14ac:dyDescent="0.25">
      <c r="A117" t="s">
        <v>267</v>
      </c>
      <c r="B117" t="s">
        <v>268</v>
      </c>
      <c r="C117" t="s">
        <v>44</v>
      </c>
      <c r="D117" t="s">
        <v>28</v>
      </c>
      <c r="E117" t="s">
        <v>40</v>
      </c>
      <c r="F117" t="s">
        <v>46</v>
      </c>
      <c r="G117">
        <v>3538821</v>
      </c>
      <c r="H117">
        <v>2828562</v>
      </c>
      <c r="I117">
        <v>710259</v>
      </c>
      <c r="J117">
        <v>0.8</v>
      </c>
      <c r="K117">
        <v>12.52</v>
      </c>
      <c r="L117">
        <v>19</v>
      </c>
      <c r="M117" t="s">
        <v>31</v>
      </c>
      <c r="N117">
        <v>0</v>
      </c>
      <c r="O117" t="s">
        <v>32</v>
      </c>
      <c r="P117">
        <v>1</v>
      </c>
      <c r="Q117">
        <v>2</v>
      </c>
      <c r="R117" t="s">
        <v>41</v>
      </c>
      <c r="S117" t="s">
        <v>34</v>
      </c>
      <c r="T117">
        <v>11</v>
      </c>
      <c r="U117">
        <v>313892084</v>
      </c>
      <c r="V117" t="s">
        <v>65</v>
      </c>
      <c r="W117" s="1">
        <v>44936</v>
      </c>
      <c r="X117" s="1">
        <v>44943</v>
      </c>
      <c r="Y117" s="5">
        <f>IF(Table1[[#This Row],[NPA_Flag]]=1, Table1[[#This Row],[Outstanding_Amount]], 0)</f>
        <v>0</v>
      </c>
      <c r="Z117" s="1">
        <v>46053</v>
      </c>
    </row>
    <row r="118" spans="1:26" x14ac:dyDescent="0.25">
      <c r="A118" t="s">
        <v>269</v>
      </c>
      <c r="B118" t="s">
        <v>270</v>
      </c>
      <c r="C118" t="s">
        <v>27</v>
      </c>
      <c r="D118" t="s">
        <v>28</v>
      </c>
      <c r="E118" t="s">
        <v>94</v>
      </c>
      <c r="F118" t="s">
        <v>46</v>
      </c>
      <c r="G118">
        <v>11869386</v>
      </c>
      <c r="H118">
        <v>9898810</v>
      </c>
      <c r="I118">
        <v>1970576</v>
      </c>
      <c r="J118">
        <v>0.83</v>
      </c>
      <c r="K118">
        <v>11.54</v>
      </c>
      <c r="L118">
        <v>18</v>
      </c>
      <c r="M118" t="s">
        <v>31</v>
      </c>
      <c r="N118">
        <v>0</v>
      </c>
      <c r="O118" t="s">
        <v>32</v>
      </c>
      <c r="P118">
        <v>0</v>
      </c>
      <c r="Q118">
        <v>5</v>
      </c>
      <c r="R118" t="s">
        <v>91</v>
      </c>
      <c r="S118" t="s">
        <v>48</v>
      </c>
      <c r="T118">
        <v>19</v>
      </c>
      <c r="U118">
        <v>200615092</v>
      </c>
      <c r="V118" t="s">
        <v>49</v>
      </c>
      <c r="W118" s="1">
        <v>45312</v>
      </c>
      <c r="X118" s="1">
        <v>45315</v>
      </c>
      <c r="Y118" s="5">
        <f>IF(Table1[[#This Row],[NPA_Flag]]=1, Table1[[#This Row],[Outstanding_Amount]], 0)</f>
        <v>0</v>
      </c>
      <c r="Z118" s="1">
        <v>46053</v>
      </c>
    </row>
    <row r="119" spans="1:26" x14ac:dyDescent="0.25">
      <c r="A119" t="s">
        <v>271</v>
      </c>
      <c r="B119" t="s">
        <v>272</v>
      </c>
      <c r="C119" t="s">
        <v>27</v>
      </c>
      <c r="D119" t="s">
        <v>28</v>
      </c>
      <c r="E119" t="s">
        <v>82</v>
      </c>
      <c r="F119" t="s">
        <v>54</v>
      </c>
      <c r="G119">
        <v>13198765</v>
      </c>
      <c r="H119">
        <v>10701587</v>
      </c>
      <c r="I119">
        <v>2497178</v>
      </c>
      <c r="J119">
        <v>0.81</v>
      </c>
      <c r="K119">
        <v>11.94</v>
      </c>
      <c r="L119">
        <v>26</v>
      </c>
      <c r="M119" t="s">
        <v>31</v>
      </c>
      <c r="N119">
        <v>0</v>
      </c>
      <c r="O119" t="s">
        <v>32</v>
      </c>
      <c r="P119">
        <v>0</v>
      </c>
      <c r="Q119">
        <v>2</v>
      </c>
      <c r="R119" t="s">
        <v>41</v>
      </c>
      <c r="S119" t="s">
        <v>64</v>
      </c>
      <c r="T119">
        <v>9</v>
      </c>
      <c r="U119">
        <v>164179025</v>
      </c>
      <c r="V119" t="s">
        <v>35</v>
      </c>
      <c r="W119" s="1">
        <v>44036</v>
      </c>
      <c r="X119" s="1">
        <v>44043</v>
      </c>
      <c r="Y119" s="5">
        <f>IF(Table1[[#This Row],[NPA_Flag]]=1, Table1[[#This Row],[Outstanding_Amount]], 0)</f>
        <v>0</v>
      </c>
      <c r="Z119" s="1">
        <v>46053</v>
      </c>
    </row>
    <row r="120" spans="1:26" x14ac:dyDescent="0.25">
      <c r="A120" t="s">
        <v>273</v>
      </c>
      <c r="B120" t="s">
        <v>274</v>
      </c>
      <c r="C120" t="s">
        <v>38</v>
      </c>
      <c r="D120" t="s">
        <v>61</v>
      </c>
      <c r="E120" t="s">
        <v>73</v>
      </c>
      <c r="F120" t="s">
        <v>68</v>
      </c>
      <c r="G120">
        <v>8568248</v>
      </c>
      <c r="H120">
        <v>7243318</v>
      </c>
      <c r="I120">
        <v>1324930</v>
      </c>
      <c r="J120">
        <v>0.85</v>
      </c>
      <c r="K120">
        <v>14.21</v>
      </c>
      <c r="L120">
        <v>6</v>
      </c>
      <c r="M120" t="s">
        <v>31</v>
      </c>
      <c r="N120">
        <v>0</v>
      </c>
      <c r="O120" t="s">
        <v>32</v>
      </c>
      <c r="P120">
        <v>1</v>
      </c>
      <c r="Q120">
        <v>1</v>
      </c>
      <c r="R120" t="s">
        <v>41</v>
      </c>
      <c r="S120" t="s">
        <v>57</v>
      </c>
      <c r="T120">
        <v>13</v>
      </c>
      <c r="U120">
        <v>104915818</v>
      </c>
      <c r="V120" t="s">
        <v>35</v>
      </c>
      <c r="W120" s="1">
        <v>43939</v>
      </c>
      <c r="X120" s="1">
        <v>43940</v>
      </c>
      <c r="Y120" s="5">
        <f>IF(Table1[[#This Row],[NPA_Flag]]=1, Table1[[#This Row],[Outstanding_Amount]], 0)</f>
        <v>0</v>
      </c>
      <c r="Z120" s="1">
        <v>46053</v>
      </c>
    </row>
    <row r="121" spans="1:26" x14ac:dyDescent="0.25">
      <c r="A121" t="s">
        <v>275</v>
      </c>
      <c r="B121" t="s">
        <v>276</v>
      </c>
      <c r="C121" t="s">
        <v>27</v>
      </c>
      <c r="D121" t="s">
        <v>28</v>
      </c>
      <c r="E121" t="s">
        <v>73</v>
      </c>
      <c r="F121" t="s">
        <v>68</v>
      </c>
      <c r="G121">
        <v>10003097</v>
      </c>
      <c r="H121">
        <v>6696540</v>
      </c>
      <c r="I121">
        <v>3306557</v>
      </c>
      <c r="J121">
        <v>0.67</v>
      </c>
      <c r="K121">
        <v>13.21</v>
      </c>
      <c r="L121">
        <v>19</v>
      </c>
      <c r="M121" t="s">
        <v>31</v>
      </c>
      <c r="N121">
        <v>0</v>
      </c>
      <c r="O121" t="s">
        <v>32</v>
      </c>
      <c r="P121">
        <v>1</v>
      </c>
      <c r="Q121">
        <v>0</v>
      </c>
      <c r="R121" t="s">
        <v>91</v>
      </c>
      <c r="S121" t="s">
        <v>64</v>
      </c>
      <c r="T121">
        <v>12</v>
      </c>
      <c r="U121">
        <v>9384343</v>
      </c>
      <c r="V121" t="s">
        <v>35</v>
      </c>
      <c r="W121" s="1">
        <v>45203</v>
      </c>
      <c r="X121" s="1">
        <v>45208</v>
      </c>
      <c r="Y121" s="5">
        <f>IF(Table1[[#This Row],[NPA_Flag]]=1, Table1[[#This Row],[Outstanding_Amount]], 0)</f>
        <v>0</v>
      </c>
      <c r="Z121" s="1">
        <v>46053</v>
      </c>
    </row>
    <row r="122" spans="1:26" x14ac:dyDescent="0.25">
      <c r="A122" t="s">
        <v>277</v>
      </c>
      <c r="B122" t="s">
        <v>153</v>
      </c>
      <c r="C122" t="s">
        <v>78</v>
      </c>
      <c r="D122" t="s">
        <v>28</v>
      </c>
      <c r="E122" t="s">
        <v>102</v>
      </c>
      <c r="F122" t="s">
        <v>30</v>
      </c>
      <c r="G122">
        <v>9068839</v>
      </c>
      <c r="H122">
        <v>6347044</v>
      </c>
      <c r="I122">
        <v>2721795</v>
      </c>
      <c r="J122">
        <v>0.7</v>
      </c>
      <c r="K122">
        <v>10.1</v>
      </c>
      <c r="L122">
        <v>45</v>
      </c>
      <c r="M122" t="s">
        <v>55</v>
      </c>
      <c r="N122">
        <v>0</v>
      </c>
      <c r="O122" t="s">
        <v>56</v>
      </c>
      <c r="P122">
        <v>0</v>
      </c>
      <c r="Q122">
        <v>2</v>
      </c>
      <c r="R122" t="s">
        <v>41</v>
      </c>
      <c r="S122" t="s">
        <v>48</v>
      </c>
      <c r="T122">
        <v>18</v>
      </c>
      <c r="U122">
        <v>346593449</v>
      </c>
      <c r="V122" t="s">
        <v>35</v>
      </c>
      <c r="W122" s="1">
        <v>44328</v>
      </c>
      <c r="X122" s="1">
        <v>44330</v>
      </c>
      <c r="Y122" s="5">
        <f>IF(Table1[[#This Row],[NPA_Flag]]=1, Table1[[#This Row],[Outstanding_Amount]], 0)</f>
        <v>0</v>
      </c>
      <c r="Z122" s="1">
        <v>46053</v>
      </c>
    </row>
    <row r="123" spans="1:26" x14ac:dyDescent="0.25">
      <c r="A123" t="s">
        <v>278</v>
      </c>
      <c r="B123" t="s">
        <v>279</v>
      </c>
      <c r="C123" t="s">
        <v>38</v>
      </c>
      <c r="D123" t="s">
        <v>39</v>
      </c>
      <c r="E123" t="s">
        <v>73</v>
      </c>
      <c r="F123" t="s">
        <v>30</v>
      </c>
      <c r="G123">
        <v>11171855</v>
      </c>
      <c r="H123">
        <v>8863505</v>
      </c>
      <c r="I123">
        <v>2308350</v>
      </c>
      <c r="J123">
        <v>0.79</v>
      </c>
      <c r="K123">
        <v>11.9</v>
      </c>
      <c r="L123">
        <v>8</v>
      </c>
      <c r="M123" t="s">
        <v>31</v>
      </c>
      <c r="N123">
        <v>0</v>
      </c>
      <c r="O123" t="s">
        <v>32</v>
      </c>
      <c r="P123">
        <v>0</v>
      </c>
      <c r="Q123">
        <v>5</v>
      </c>
      <c r="R123" t="s">
        <v>41</v>
      </c>
      <c r="S123" t="s">
        <v>64</v>
      </c>
      <c r="T123">
        <v>14</v>
      </c>
      <c r="U123">
        <v>19937237</v>
      </c>
      <c r="V123" t="s">
        <v>58</v>
      </c>
      <c r="W123" s="1">
        <v>43946</v>
      </c>
      <c r="X123" s="1">
        <v>43954</v>
      </c>
      <c r="Y123" s="5">
        <f>IF(Table1[[#This Row],[NPA_Flag]]=1, Table1[[#This Row],[Outstanding_Amount]], 0)</f>
        <v>0</v>
      </c>
      <c r="Z123" s="1">
        <v>46053</v>
      </c>
    </row>
    <row r="124" spans="1:26" x14ac:dyDescent="0.25">
      <c r="A124" t="s">
        <v>280</v>
      </c>
      <c r="B124" t="s">
        <v>281</v>
      </c>
      <c r="C124" t="s">
        <v>38</v>
      </c>
      <c r="D124" t="s">
        <v>52</v>
      </c>
      <c r="E124" t="s">
        <v>29</v>
      </c>
      <c r="F124" t="s">
        <v>68</v>
      </c>
      <c r="G124">
        <v>7965826</v>
      </c>
      <c r="H124">
        <v>7043385</v>
      </c>
      <c r="I124">
        <v>922441</v>
      </c>
      <c r="J124">
        <v>0.88</v>
      </c>
      <c r="K124">
        <v>13.32</v>
      </c>
      <c r="L124">
        <v>4</v>
      </c>
      <c r="M124" t="s">
        <v>31</v>
      </c>
      <c r="N124">
        <v>0</v>
      </c>
      <c r="O124" t="s">
        <v>32</v>
      </c>
      <c r="P124">
        <v>0</v>
      </c>
      <c r="Q124">
        <v>2</v>
      </c>
      <c r="R124" t="s">
        <v>91</v>
      </c>
      <c r="S124" t="s">
        <v>34</v>
      </c>
      <c r="T124">
        <v>24</v>
      </c>
      <c r="U124">
        <v>123157653</v>
      </c>
      <c r="V124" t="s">
        <v>49</v>
      </c>
      <c r="W124" s="1">
        <v>44769</v>
      </c>
      <c r="X124" s="1">
        <v>44776</v>
      </c>
      <c r="Y124" s="5">
        <f>IF(Table1[[#This Row],[NPA_Flag]]=1, Table1[[#This Row],[Outstanding_Amount]], 0)</f>
        <v>0</v>
      </c>
      <c r="Z124" s="1">
        <v>46053</v>
      </c>
    </row>
    <row r="125" spans="1:26" x14ac:dyDescent="0.25">
      <c r="A125" t="s">
        <v>282</v>
      </c>
      <c r="B125" t="s">
        <v>283</v>
      </c>
      <c r="C125" t="s">
        <v>44</v>
      </c>
      <c r="D125" t="s">
        <v>39</v>
      </c>
      <c r="E125" t="s">
        <v>82</v>
      </c>
      <c r="F125" t="s">
        <v>68</v>
      </c>
      <c r="G125">
        <v>12965818</v>
      </c>
      <c r="H125">
        <v>9264361</v>
      </c>
      <c r="I125">
        <v>3701457</v>
      </c>
      <c r="J125">
        <v>0.71</v>
      </c>
      <c r="K125">
        <v>10.63</v>
      </c>
      <c r="L125">
        <v>12</v>
      </c>
      <c r="M125" t="s">
        <v>31</v>
      </c>
      <c r="N125">
        <v>0</v>
      </c>
      <c r="O125" t="s">
        <v>32</v>
      </c>
      <c r="P125">
        <v>1</v>
      </c>
      <c r="Q125">
        <v>0</v>
      </c>
      <c r="R125" t="s">
        <v>41</v>
      </c>
      <c r="S125" t="s">
        <v>34</v>
      </c>
      <c r="T125">
        <v>14</v>
      </c>
      <c r="U125">
        <v>484272896</v>
      </c>
      <c r="V125" t="s">
        <v>35</v>
      </c>
      <c r="W125" s="1">
        <v>45183</v>
      </c>
      <c r="X125" s="1">
        <v>45184</v>
      </c>
      <c r="Y125" s="5">
        <f>IF(Table1[[#This Row],[NPA_Flag]]=1, Table1[[#This Row],[Outstanding_Amount]], 0)</f>
        <v>0</v>
      </c>
      <c r="Z125" s="1">
        <v>46053</v>
      </c>
    </row>
    <row r="126" spans="1:26" x14ac:dyDescent="0.25">
      <c r="A126" t="s">
        <v>284</v>
      </c>
      <c r="B126" t="s">
        <v>164</v>
      </c>
      <c r="C126" t="s">
        <v>38</v>
      </c>
      <c r="D126" t="s">
        <v>39</v>
      </c>
      <c r="E126" t="s">
        <v>40</v>
      </c>
      <c r="F126" t="s">
        <v>54</v>
      </c>
      <c r="G126">
        <v>12313041</v>
      </c>
      <c r="H126">
        <v>8848079</v>
      </c>
      <c r="I126">
        <v>3464962</v>
      </c>
      <c r="J126">
        <v>0.72</v>
      </c>
      <c r="K126">
        <v>13.65</v>
      </c>
      <c r="L126">
        <v>25</v>
      </c>
      <c r="M126" t="s">
        <v>31</v>
      </c>
      <c r="N126">
        <v>0</v>
      </c>
      <c r="O126" t="s">
        <v>32</v>
      </c>
      <c r="P126">
        <v>0</v>
      </c>
      <c r="Q126">
        <v>4</v>
      </c>
      <c r="R126" t="s">
        <v>33</v>
      </c>
      <c r="S126" t="s">
        <v>79</v>
      </c>
      <c r="T126">
        <v>16</v>
      </c>
      <c r="U126">
        <v>305407815</v>
      </c>
      <c r="V126" t="s">
        <v>58</v>
      </c>
      <c r="W126" s="1">
        <v>45276</v>
      </c>
      <c r="X126" s="1">
        <v>45278</v>
      </c>
      <c r="Y126" s="5">
        <f>IF(Table1[[#This Row],[NPA_Flag]]=1, Table1[[#This Row],[Outstanding_Amount]], 0)</f>
        <v>0</v>
      </c>
      <c r="Z126" s="1">
        <v>46053</v>
      </c>
    </row>
    <row r="127" spans="1:26" x14ac:dyDescent="0.25">
      <c r="A127" t="s">
        <v>285</v>
      </c>
      <c r="B127" t="s">
        <v>286</v>
      </c>
      <c r="C127" t="s">
        <v>38</v>
      </c>
      <c r="D127" t="s">
        <v>39</v>
      </c>
      <c r="E127" t="s">
        <v>45</v>
      </c>
      <c r="F127" t="s">
        <v>68</v>
      </c>
      <c r="G127">
        <v>5751316</v>
      </c>
      <c r="H127">
        <v>5093371</v>
      </c>
      <c r="I127">
        <v>657945</v>
      </c>
      <c r="J127">
        <v>0.89</v>
      </c>
      <c r="K127">
        <v>13.95</v>
      </c>
      <c r="L127">
        <v>149</v>
      </c>
      <c r="M127" t="s">
        <v>69</v>
      </c>
      <c r="N127">
        <v>1</v>
      </c>
      <c r="O127" t="s">
        <v>70</v>
      </c>
      <c r="P127">
        <v>0</v>
      </c>
      <c r="Q127">
        <v>5</v>
      </c>
      <c r="R127" t="s">
        <v>91</v>
      </c>
      <c r="S127" t="s">
        <v>48</v>
      </c>
      <c r="T127">
        <v>6</v>
      </c>
      <c r="U127">
        <v>432980686</v>
      </c>
      <c r="V127" t="s">
        <v>35</v>
      </c>
      <c r="W127" s="1">
        <v>43905</v>
      </c>
      <c r="X127" s="1">
        <v>43914</v>
      </c>
      <c r="Y127" s="5">
        <f>IF(Table1[[#This Row],[NPA_Flag]]=1, Table1[[#This Row],[Outstanding_Amount]], 0)</f>
        <v>5093371</v>
      </c>
      <c r="Z127" s="1">
        <v>46053</v>
      </c>
    </row>
    <row r="128" spans="1:26" x14ac:dyDescent="0.25">
      <c r="A128" t="s">
        <v>287</v>
      </c>
      <c r="B128" t="s">
        <v>191</v>
      </c>
      <c r="C128" t="s">
        <v>27</v>
      </c>
      <c r="D128" t="s">
        <v>39</v>
      </c>
      <c r="E128" t="s">
        <v>102</v>
      </c>
      <c r="F128" t="s">
        <v>30</v>
      </c>
      <c r="G128">
        <v>14440496</v>
      </c>
      <c r="H128">
        <v>12775969</v>
      </c>
      <c r="I128">
        <v>1664527</v>
      </c>
      <c r="J128">
        <v>0.88</v>
      </c>
      <c r="K128">
        <v>11.34</v>
      </c>
      <c r="L128">
        <v>30</v>
      </c>
      <c r="M128" t="s">
        <v>31</v>
      </c>
      <c r="N128">
        <v>0</v>
      </c>
      <c r="O128" t="s">
        <v>32</v>
      </c>
      <c r="P128">
        <v>1</v>
      </c>
      <c r="Q128">
        <v>2</v>
      </c>
      <c r="R128" t="s">
        <v>47</v>
      </c>
      <c r="S128" t="s">
        <v>57</v>
      </c>
      <c r="T128">
        <v>12</v>
      </c>
      <c r="U128">
        <v>234645134</v>
      </c>
      <c r="V128" t="s">
        <v>49</v>
      </c>
      <c r="W128" s="1">
        <v>44823</v>
      </c>
      <c r="X128" s="1">
        <v>44828</v>
      </c>
      <c r="Y128" s="5">
        <f>IF(Table1[[#This Row],[NPA_Flag]]=1, Table1[[#This Row],[Outstanding_Amount]], 0)</f>
        <v>0</v>
      </c>
      <c r="Z128" s="1">
        <v>46053</v>
      </c>
    </row>
    <row r="129" spans="1:26" x14ac:dyDescent="0.25">
      <c r="A129" t="s">
        <v>288</v>
      </c>
      <c r="B129" t="s">
        <v>289</v>
      </c>
      <c r="C129" t="s">
        <v>78</v>
      </c>
      <c r="D129" t="s">
        <v>39</v>
      </c>
      <c r="E129" t="s">
        <v>82</v>
      </c>
      <c r="F129" t="s">
        <v>54</v>
      </c>
      <c r="G129">
        <v>6094016</v>
      </c>
      <c r="H129">
        <v>5149218</v>
      </c>
      <c r="I129">
        <v>944798</v>
      </c>
      <c r="J129">
        <v>0.84</v>
      </c>
      <c r="K129">
        <v>9.58</v>
      </c>
      <c r="L129">
        <v>3</v>
      </c>
      <c r="M129" t="s">
        <v>31</v>
      </c>
      <c r="N129">
        <v>0</v>
      </c>
      <c r="O129" t="s">
        <v>32</v>
      </c>
      <c r="P129">
        <v>1</v>
      </c>
      <c r="Q129">
        <v>2</v>
      </c>
      <c r="R129" t="s">
        <v>91</v>
      </c>
      <c r="S129" t="s">
        <v>34</v>
      </c>
      <c r="T129">
        <v>4</v>
      </c>
      <c r="U129">
        <v>52666031</v>
      </c>
      <c r="V129" t="s">
        <v>58</v>
      </c>
      <c r="W129" s="1">
        <v>44817</v>
      </c>
      <c r="X129" s="1">
        <v>44826</v>
      </c>
      <c r="Y129" s="5">
        <f>IF(Table1[[#This Row],[NPA_Flag]]=1, Table1[[#This Row],[Outstanding_Amount]], 0)</f>
        <v>0</v>
      </c>
      <c r="Z129" s="1">
        <v>46053</v>
      </c>
    </row>
    <row r="130" spans="1:26" x14ac:dyDescent="0.25">
      <c r="A130" t="s">
        <v>290</v>
      </c>
      <c r="B130" t="s">
        <v>291</v>
      </c>
      <c r="C130" t="s">
        <v>38</v>
      </c>
      <c r="D130" t="s">
        <v>39</v>
      </c>
      <c r="E130" t="s">
        <v>40</v>
      </c>
      <c r="F130" t="s">
        <v>30</v>
      </c>
      <c r="G130">
        <v>2772771</v>
      </c>
      <c r="H130">
        <v>2476796</v>
      </c>
      <c r="I130">
        <v>295975</v>
      </c>
      <c r="J130">
        <v>0.89</v>
      </c>
      <c r="K130">
        <v>10.98</v>
      </c>
      <c r="L130">
        <v>1</v>
      </c>
      <c r="M130" t="s">
        <v>31</v>
      </c>
      <c r="N130">
        <v>0</v>
      </c>
      <c r="O130" t="s">
        <v>32</v>
      </c>
      <c r="P130">
        <v>1</v>
      </c>
      <c r="Q130">
        <v>3</v>
      </c>
      <c r="R130" t="s">
        <v>91</v>
      </c>
      <c r="S130" t="s">
        <v>34</v>
      </c>
      <c r="T130">
        <v>21</v>
      </c>
      <c r="U130">
        <v>399028965</v>
      </c>
      <c r="V130" t="s">
        <v>58</v>
      </c>
      <c r="W130" s="1">
        <v>44664</v>
      </c>
      <c r="X130" s="1">
        <v>44674</v>
      </c>
      <c r="Y130" s="5">
        <f>IF(Table1[[#This Row],[NPA_Flag]]=1, Table1[[#This Row],[Outstanding_Amount]], 0)</f>
        <v>0</v>
      </c>
      <c r="Z130" s="1">
        <v>46053</v>
      </c>
    </row>
    <row r="131" spans="1:26" x14ac:dyDescent="0.25">
      <c r="A131" t="s">
        <v>292</v>
      </c>
      <c r="B131" t="s">
        <v>75</v>
      </c>
      <c r="C131" t="s">
        <v>44</v>
      </c>
      <c r="D131" t="s">
        <v>28</v>
      </c>
      <c r="E131" t="s">
        <v>29</v>
      </c>
      <c r="F131" t="s">
        <v>30</v>
      </c>
      <c r="G131">
        <v>12935803</v>
      </c>
      <c r="H131">
        <v>11188153</v>
      </c>
      <c r="I131">
        <v>1747650</v>
      </c>
      <c r="J131">
        <v>0.86</v>
      </c>
      <c r="K131">
        <v>9.3800000000000008</v>
      </c>
      <c r="L131">
        <v>21</v>
      </c>
      <c r="M131" t="s">
        <v>31</v>
      </c>
      <c r="N131">
        <v>0</v>
      </c>
      <c r="O131" t="s">
        <v>32</v>
      </c>
      <c r="P131">
        <v>0</v>
      </c>
      <c r="Q131">
        <v>0</v>
      </c>
      <c r="R131" t="s">
        <v>91</v>
      </c>
      <c r="S131" t="s">
        <v>48</v>
      </c>
      <c r="T131">
        <v>18</v>
      </c>
      <c r="U131">
        <v>275874074</v>
      </c>
      <c r="V131" t="s">
        <v>35</v>
      </c>
      <c r="W131" s="1">
        <v>43892</v>
      </c>
      <c r="X131" s="1">
        <v>43893</v>
      </c>
      <c r="Y131" s="5">
        <f>IF(Table1[[#This Row],[NPA_Flag]]=1, Table1[[#This Row],[Outstanding_Amount]], 0)</f>
        <v>0</v>
      </c>
      <c r="Z131" s="1">
        <v>46053</v>
      </c>
    </row>
    <row r="132" spans="1:26" x14ac:dyDescent="0.25">
      <c r="A132" t="s">
        <v>293</v>
      </c>
      <c r="B132" t="s">
        <v>72</v>
      </c>
      <c r="C132" t="s">
        <v>44</v>
      </c>
      <c r="D132" t="s">
        <v>28</v>
      </c>
      <c r="E132" t="s">
        <v>102</v>
      </c>
      <c r="F132" t="s">
        <v>54</v>
      </c>
      <c r="G132">
        <v>10429625</v>
      </c>
      <c r="H132">
        <v>6415109</v>
      </c>
      <c r="I132">
        <v>4014516</v>
      </c>
      <c r="J132">
        <v>0.62</v>
      </c>
      <c r="K132">
        <v>9.0299999999999994</v>
      </c>
      <c r="L132">
        <v>2</v>
      </c>
      <c r="M132" t="s">
        <v>31</v>
      </c>
      <c r="N132">
        <v>0</v>
      </c>
      <c r="O132" t="s">
        <v>32</v>
      </c>
      <c r="P132">
        <v>1</v>
      </c>
      <c r="Q132">
        <v>2</v>
      </c>
      <c r="R132" t="s">
        <v>33</v>
      </c>
      <c r="S132" t="s">
        <v>79</v>
      </c>
      <c r="T132">
        <v>5</v>
      </c>
      <c r="U132">
        <v>276575754</v>
      </c>
      <c r="V132" t="s">
        <v>58</v>
      </c>
      <c r="W132" s="1">
        <v>44843</v>
      </c>
      <c r="X132" s="1">
        <v>44850</v>
      </c>
      <c r="Y132" s="5">
        <f>IF(Table1[[#This Row],[NPA_Flag]]=1, Table1[[#This Row],[Outstanding_Amount]], 0)</f>
        <v>0</v>
      </c>
      <c r="Z132" s="1">
        <v>46053</v>
      </c>
    </row>
    <row r="133" spans="1:26" x14ac:dyDescent="0.25">
      <c r="A133" t="s">
        <v>294</v>
      </c>
      <c r="B133" t="s">
        <v>119</v>
      </c>
      <c r="C133" t="s">
        <v>78</v>
      </c>
      <c r="D133" t="s">
        <v>61</v>
      </c>
      <c r="E133" t="s">
        <v>102</v>
      </c>
      <c r="F133" t="s">
        <v>54</v>
      </c>
      <c r="G133">
        <v>8441573</v>
      </c>
      <c r="H133">
        <v>6189336</v>
      </c>
      <c r="I133">
        <v>2252237</v>
      </c>
      <c r="J133">
        <v>0.73</v>
      </c>
      <c r="K133">
        <v>14.33</v>
      </c>
      <c r="L133">
        <v>86</v>
      </c>
      <c r="M133" t="s">
        <v>90</v>
      </c>
      <c r="N133">
        <v>0</v>
      </c>
      <c r="O133" t="s">
        <v>70</v>
      </c>
      <c r="P133">
        <v>1</v>
      </c>
      <c r="Q133">
        <v>3</v>
      </c>
      <c r="R133" t="s">
        <v>41</v>
      </c>
      <c r="S133" t="s">
        <v>79</v>
      </c>
      <c r="T133">
        <v>6</v>
      </c>
      <c r="U133">
        <v>273281979</v>
      </c>
      <c r="V133" t="s">
        <v>49</v>
      </c>
      <c r="W133" s="1">
        <v>44313</v>
      </c>
      <c r="X133" s="1">
        <v>44322</v>
      </c>
      <c r="Y133" s="5">
        <f>IF(Table1[[#This Row],[NPA_Flag]]=1, Table1[[#This Row],[Outstanding_Amount]], 0)</f>
        <v>0</v>
      </c>
      <c r="Z133" s="1">
        <v>46053</v>
      </c>
    </row>
    <row r="134" spans="1:26" x14ac:dyDescent="0.25">
      <c r="A134" t="s">
        <v>295</v>
      </c>
      <c r="B134" t="s">
        <v>296</v>
      </c>
      <c r="C134" t="s">
        <v>44</v>
      </c>
      <c r="D134" t="s">
        <v>28</v>
      </c>
      <c r="E134" t="s">
        <v>97</v>
      </c>
      <c r="F134" t="s">
        <v>68</v>
      </c>
      <c r="G134">
        <v>8946106</v>
      </c>
      <c r="H134">
        <v>6713210</v>
      </c>
      <c r="I134">
        <v>2232896</v>
      </c>
      <c r="J134">
        <v>0.75</v>
      </c>
      <c r="K134">
        <v>10.28</v>
      </c>
      <c r="L134">
        <v>29</v>
      </c>
      <c r="M134" t="s">
        <v>31</v>
      </c>
      <c r="N134">
        <v>0</v>
      </c>
      <c r="O134" t="s">
        <v>32</v>
      </c>
      <c r="P134">
        <v>0</v>
      </c>
      <c r="Q134">
        <v>5</v>
      </c>
      <c r="R134" t="s">
        <v>91</v>
      </c>
      <c r="S134" t="s">
        <v>48</v>
      </c>
      <c r="T134">
        <v>5</v>
      </c>
      <c r="U134">
        <v>79140380</v>
      </c>
      <c r="V134" t="s">
        <v>58</v>
      </c>
      <c r="W134" s="1">
        <v>44786</v>
      </c>
      <c r="X134" s="1">
        <v>44795</v>
      </c>
      <c r="Y134" s="5">
        <f>IF(Table1[[#This Row],[NPA_Flag]]=1, Table1[[#This Row],[Outstanding_Amount]], 0)</f>
        <v>0</v>
      </c>
      <c r="Z134" s="1">
        <v>46053</v>
      </c>
    </row>
    <row r="135" spans="1:26" x14ac:dyDescent="0.25">
      <c r="A135" t="s">
        <v>297</v>
      </c>
      <c r="B135" t="s">
        <v>298</v>
      </c>
      <c r="C135" t="s">
        <v>78</v>
      </c>
      <c r="D135" t="s">
        <v>28</v>
      </c>
      <c r="E135" t="s">
        <v>45</v>
      </c>
      <c r="F135" t="s">
        <v>30</v>
      </c>
      <c r="G135">
        <v>8230537</v>
      </c>
      <c r="H135">
        <v>5493821</v>
      </c>
      <c r="I135">
        <v>2736716</v>
      </c>
      <c r="J135">
        <v>0.67</v>
      </c>
      <c r="K135">
        <v>9.89</v>
      </c>
      <c r="L135">
        <v>19</v>
      </c>
      <c r="M135" t="s">
        <v>31</v>
      </c>
      <c r="N135">
        <v>0</v>
      </c>
      <c r="O135" t="s">
        <v>32</v>
      </c>
      <c r="P135">
        <v>1</v>
      </c>
      <c r="Q135">
        <v>0</v>
      </c>
      <c r="R135" t="s">
        <v>41</v>
      </c>
      <c r="S135" t="s">
        <v>57</v>
      </c>
      <c r="T135">
        <v>10</v>
      </c>
      <c r="U135">
        <v>197335069</v>
      </c>
      <c r="V135" t="s">
        <v>49</v>
      </c>
      <c r="W135" s="1">
        <v>45202</v>
      </c>
      <c r="X135" s="1">
        <v>45209</v>
      </c>
      <c r="Y135" s="5">
        <f>IF(Table1[[#This Row],[NPA_Flag]]=1, Table1[[#This Row],[Outstanding_Amount]], 0)</f>
        <v>0</v>
      </c>
      <c r="Z135" s="1">
        <v>46053</v>
      </c>
    </row>
    <row r="136" spans="1:26" x14ac:dyDescent="0.25">
      <c r="A136" t="s">
        <v>299</v>
      </c>
      <c r="B136" t="s">
        <v>300</v>
      </c>
      <c r="C136" t="s">
        <v>27</v>
      </c>
      <c r="D136" t="s">
        <v>39</v>
      </c>
      <c r="E136" t="s">
        <v>29</v>
      </c>
      <c r="F136" t="s">
        <v>54</v>
      </c>
      <c r="G136">
        <v>4216508</v>
      </c>
      <c r="H136">
        <v>4003432</v>
      </c>
      <c r="I136">
        <v>213076</v>
      </c>
      <c r="J136">
        <v>0.95</v>
      </c>
      <c r="K136">
        <v>12.28</v>
      </c>
      <c r="L136">
        <v>25</v>
      </c>
      <c r="M136" t="s">
        <v>31</v>
      </c>
      <c r="N136">
        <v>0</v>
      </c>
      <c r="O136" t="s">
        <v>32</v>
      </c>
      <c r="P136">
        <v>1</v>
      </c>
      <c r="Q136">
        <v>1</v>
      </c>
      <c r="R136" t="s">
        <v>41</v>
      </c>
      <c r="S136" t="s">
        <v>57</v>
      </c>
      <c r="T136">
        <v>3</v>
      </c>
      <c r="U136">
        <v>305476406</v>
      </c>
      <c r="V136" t="s">
        <v>49</v>
      </c>
      <c r="W136" s="1">
        <v>43955</v>
      </c>
      <c r="X136" s="1">
        <v>43958</v>
      </c>
      <c r="Y136" s="5">
        <f>IF(Table1[[#This Row],[NPA_Flag]]=1, Table1[[#This Row],[Outstanding_Amount]], 0)</f>
        <v>0</v>
      </c>
      <c r="Z136" s="1">
        <v>46053</v>
      </c>
    </row>
    <row r="137" spans="1:26" x14ac:dyDescent="0.25">
      <c r="A137" t="s">
        <v>301</v>
      </c>
      <c r="B137" t="s">
        <v>302</v>
      </c>
      <c r="C137" t="s">
        <v>44</v>
      </c>
      <c r="D137" t="s">
        <v>28</v>
      </c>
      <c r="E137" t="s">
        <v>53</v>
      </c>
      <c r="F137" t="s">
        <v>30</v>
      </c>
      <c r="G137">
        <v>13662121</v>
      </c>
      <c r="H137">
        <v>9015315</v>
      </c>
      <c r="I137">
        <v>4646806</v>
      </c>
      <c r="J137">
        <v>0.66</v>
      </c>
      <c r="K137">
        <v>9.7899999999999991</v>
      </c>
      <c r="L137">
        <v>20</v>
      </c>
      <c r="M137" t="s">
        <v>31</v>
      </c>
      <c r="N137">
        <v>0</v>
      </c>
      <c r="O137" t="s">
        <v>32</v>
      </c>
      <c r="P137">
        <v>0</v>
      </c>
      <c r="Q137">
        <v>0</v>
      </c>
      <c r="R137" t="s">
        <v>47</v>
      </c>
      <c r="S137" t="s">
        <v>34</v>
      </c>
      <c r="T137">
        <v>21</v>
      </c>
      <c r="U137">
        <v>355044941</v>
      </c>
      <c r="V137" t="s">
        <v>65</v>
      </c>
      <c r="W137" s="1">
        <v>45232</v>
      </c>
      <c r="X137" s="1">
        <v>45233</v>
      </c>
      <c r="Y137" s="5">
        <f>IF(Table1[[#This Row],[NPA_Flag]]=1, Table1[[#This Row],[Outstanding_Amount]], 0)</f>
        <v>0</v>
      </c>
      <c r="Z137" s="1">
        <v>46053</v>
      </c>
    </row>
    <row r="138" spans="1:26" x14ac:dyDescent="0.25">
      <c r="A138" t="s">
        <v>303</v>
      </c>
      <c r="B138" t="s">
        <v>219</v>
      </c>
      <c r="C138" t="s">
        <v>38</v>
      </c>
      <c r="D138" t="s">
        <v>39</v>
      </c>
      <c r="E138" t="s">
        <v>85</v>
      </c>
      <c r="F138" t="s">
        <v>54</v>
      </c>
      <c r="G138">
        <v>11133532</v>
      </c>
      <c r="H138">
        <v>8702551</v>
      </c>
      <c r="I138">
        <v>2430981</v>
      </c>
      <c r="J138">
        <v>0.78</v>
      </c>
      <c r="K138">
        <v>13.75</v>
      </c>
      <c r="L138">
        <v>5</v>
      </c>
      <c r="M138" t="s">
        <v>31</v>
      </c>
      <c r="N138">
        <v>0</v>
      </c>
      <c r="O138" t="s">
        <v>32</v>
      </c>
      <c r="P138">
        <v>0</v>
      </c>
      <c r="Q138">
        <v>0</v>
      </c>
      <c r="R138" t="s">
        <v>91</v>
      </c>
      <c r="S138" t="s">
        <v>64</v>
      </c>
      <c r="T138">
        <v>11</v>
      </c>
      <c r="U138">
        <v>481920573</v>
      </c>
      <c r="V138" t="s">
        <v>65</v>
      </c>
      <c r="W138" s="1">
        <v>44790</v>
      </c>
      <c r="X138" s="1">
        <v>44795</v>
      </c>
      <c r="Y138" s="5">
        <f>IF(Table1[[#This Row],[NPA_Flag]]=1, Table1[[#This Row],[Outstanding_Amount]], 0)</f>
        <v>0</v>
      </c>
      <c r="Z138" s="1">
        <v>46053</v>
      </c>
    </row>
    <row r="139" spans="1:26" x14ac:dyDescent="0.25">
      <c r="A139" t="s">
        <v>304</v>
      </c>
      <c r="B139" t="s">
        <v>136</v>
      </c>
      <c r="C139" t="s">
        <v>78</v>
      </c>
      <c r="D139" t="s">
        <v>39</v>
      </c>
      <c r="E139" t="s">
        <v>29</v>
      </c>
      <c r="F139" t="s">
        <v>46</v>
      </c>
      <c r="G139">
        <v>4763514</v>
      </c>
      <c r="H139">
        <v>4235512</v>
      </c>
      <c r="I139">
        <v>528002</v>
      </c>
      <c r="J139">
        <v>0.89</v>
      </c>
      <c r="K139">
        <v>14.49</v>
      </c>
      <c r="L139">
        <v>23</v>
      </c>
      <c r="M139" t="s">
        <v>31</v>
      </c>
      <c r="N139">
        <v>0</v>
      </c>
      <c r="O139" t="s">
        <v>32</v>
      </c>
      <c r="P139">
        <v>1</v>
      </c>
      <c r="Q139">
        <v>1</v>
      </c>
      <c r="R139" t="s">
        <v>33</v>
      </c>
      <c r="S139" t="s">
        <v>57</v>
      </c>
      <c r="T139">
        <v>7</v>
      </c>
      <c r="U139">
        <v>126932913</v>
      </c>
      <c r="V139" t="s">
        <v>35</v>
      </c>
      <c r="W139" s="1">
        <v>44531</v>
      </c>
      <c r="X139" s="1">
        <v>44535</v>
      </c>
      <c r="Y139" s="5">
        <f>IF(Table1[[#This Row],[NPA_Flag]]=1, Table1[[#This Row],[Outstanding_Amount]], 0)</f>
        <v>0</v>
      </c>
      <c r="Z139" s="1">
        <v>46053</v>
      </c>
    </row>
    <row r="140" spans="1:26" x14ac:dyDescent="0.25">
      <c r="A140" t="s">
        <v>305</v>
      </c>
      <c r="B140" t="s">
        <v>306</v>
      </c>
      <c r="C140" t="s">
        <v>78</v>
      </c>
      <c r="D140" t="s">
        <v>52</v>
      </c>
      <c r="E140" t="s">
        <v>94</v>
      </c>
      <c r="F140" t="s">
        <v>30</v>
      </c>
      <c r="G140">
        <v>10354299</v>
      </c>
      <c r="H140">
        <v>8518334</v>
      </c>
      <c r="I140">
        <v>1835965</v>
      </c>
      <c r="J140">
        <v>0.82</v>
      </c>
      <c r="K140">
        <v>12.09</v>
      </c>
      <c r="L140">
        <v>14</v>
      </c>
      <c r="M140" t="s">
        <v>31</v>
      </c>
      <c r="N140">
        <v>0</v>
      </c>
      <c r="O140" t="s">
        <v>32</v>
      </c>
      <c r="P140">
        <v>1</v>
      </c>
      <c r="Q140">
        <v>3</v>
      </c>
      <c r="R140" t="s">
        <v>47</v>
      </c>
      <c r="S140" t="s">
        <v>34</v>
      </c>
      <c r="T140">
        <v>14</v>
      </c>
      <c r="U140">
        <v>260237144</v>
      </c>
      <c r="V140" t="s">
        <v>49</v>
      </c>
      <c r="W140" s="1">
        <v>43991</v>
      </c>
      <c r="X140" s="1">
        <v>44001</v>
      </c>
      <c r="Y140" s="5">
        <f>IF(Table1[[#This Row],[NPA_Flag]]=1, Table1[[#This Row],[Outstanding_Amount]], 0)</f>
        <v>0</v>
      </c>
      <c r="Z140" s="1">
        <v>46053</v>
      </c>
    </row>
    <row r="141" spans="1:26" x14ac:dyDescent="0.25">
      <c r="A141" t="s">
        <v>307</v>
      </c>
      <c r="B141" t="s">
        <v>219</v>
      </c>
      <c r="C141" t="s">
        <v>27</v>
      </c>
      <c r="D141" t="s">
        <v>61</v>
      </c>
      <c r="E141" t="s">
        <v>102</v>
      </c>
      <c r="F141" t="s">
        <v>68</v>
      </c>
      <c r="G141">
        <v>13737709</v>
      </c>
      <c r="H141">
        <v>10582695</v>
      </c>
      <c r="I141">
        <v>3155014</v>
      </c>
      <c r="J141">
        <v>0.77</v>
      </c>
      <c r="K141">
        <v>11.15</v>
      </c>
      <c r="L141">
        <v>24</v>
      </c>
      <c r="M141" t="s">
        <v>31</v>
      </c>
      <c r="N141">
        <v>0</v>
      </c>
      <c r="O141" t="s">
        <v>32</v>
      </c>
      <c r="P141">
        <v>1</v>
      </c>
      <c r="Q141">
        <v>2</v>
      </c>
      <c r="R141" t="s">
        <v>91</v>
      </c>
      <c r="S141" t="s">
        <v>79</v>
      </c>
      <c r="T141">
        <v>13</v>
      </c>
      <c r="U141">
        <v>269928362</v>
      </c>
      <c r="V141" t="s">
        <v>58</v>
      </c>
      <c r="W141" s="1">
        <v>44251</v>
      </c>
      <c r="X141" s="1">
        <v>44252</v>
      </c>
      <c r="Y141" s="5">
        <f>IF(Table1[[#This Row],[NPA_Flag]]=1, Table1[[#This Row],[Outstanding_Amount]], 0)</f>
        <v>0</v>
      </c>
      <c r="Z141" s="1">
        <v>46053</v>
      </c>
    </row>
    <row r="142" spans="1:26" x14ac:dyDescent="0.25">
      <c r="A142" t="s">
        <v>308</v>
      </c>
      <c r="B142" t="s">
        <v>309</v>
      </c>
      <c r="C142" t="s">
        <v>78</v>
      </c>
      <c r="D142" t="s">
        <v>39</v>
      </c>
      <c r="E142" t="s">
        <v>85</v>
      </c>
      <c r="F142" t="s">
        <v>68</v>
      </c>
      <c r="G142">
        <v>9633456</v>
      </c>
      <c r="H142">
        <v>8258450</v>
      </c>
      <c r="I142">
        <v>1375006</v>
      </c>
      <c r="J142">
        <v>0.86</v>
      </c>
      <c r="K142">
        <v>9.34</v>
      </c>
      <c r="L142">
        <v>22</v>
      </c>
      <c r="M142" t="s">
        <v>31</v>
      </c>
      <c r="N142">
        <v>0</v>
      </c>
      <c r="O142" t="s">
        <v>32</v>
      </c>
      <c r="P142">
        <v>1</v>
      </c>
      <c r="Q142">
        <v>0</v>
      </c>
      <c r="R142" t="s">
        <v>33</v>
      </c>
      <c r="S142" t="s">
        <v>57</v>
      </c>
      <c r="T142">
        <v>13</v>
      </c>
      <c r="U142">
        <v>101343412</v>
      </c>
      <c r="V142" t="s">
        <v>35</v>
      </c>
      <c r="W142" s="1">
        <v>45062</v>
      </c>
      <c r="X142" s="1">
        <v>45063</v>
      </c>
      <c r="Y142" s="5">
        <f>IF(Table1[[#This Row],[NPA_Flag]]=1, Table1[[#This Row],[Outstanding_Amount]], 0)</f>
        <v>0</v>
      </c>
      <c r="Z142" s="1">
        <v>46053</v>
      </c>
    </row>
    <row r="143" spans="1:26" x14ac:dyDescent="0.25">
      <c r="A143" t="s">
        <v>310</v>
      </c>
      <c r="B143" t="s">
        <v>311</v>
      </c>
      <c r="C143" t="s">
        <v>38</v>
      </c>
      <c r="D143" t="s">
        <v>52</v>
      </c>
      <c r="E143" t="s">
        <v>73</v>
      </c>
      <c r="F143" t="s">
        <v>54</v>
      </c>
      <c r="G143">
        <v>10438114</v>
      </c>
      <c r="H143">
        <v>9266047</v>
      </c>
      <c r="I143">
        <v>1172067</v>
      </c>
      <c r="J143">
        <v>0.89</v>
      </c>
      <c r="K143">
        <v>9.4700000000000006</v>
      </c>
      <c r="L143">
        <v>134</v>
      </c>
      <c r="M143" t="s">
        <v>69</v>
      </c>
      <c r="N143">
        <v>1</v>
      </c>
      <c r="O143" t="s">
        <v>70</v>
      </c>
      <c r="P143">
        <v>1</v>
      </c>
      <c r="Q143">
        <v>0</v>
      </c>
      <c r="R143" t="s">
        <v>41</v>
      </c>
      <c r="S143" t="s">
        <v>64</v>
      </c>
      <c r="T143">
        <v>13</v>
      </c>
      <c r="U143">
        <v>281443547</v>
      </c>
      <c r="V143" t="s">
        <v>49</v>
      </c>
      <c r="W143" s="1">
        <v>44610</v>
      </c>
      <c r="X143" s="1">
        <v>44620</v>
      </c>
      <c r="Y143" s="5">
        <f>IF(Table1[[#This Row],[NPA_Flag]]=1, Table1[[#This Row],[Outstanding_Amount]], 0)</f>
        <v>9266047</v>
      </c>
      <c r="Z143" s="1">
        <v>46053</v>
      </c>
    </row>
    <row r="144" spans="1:26" x14ac:dyDescent="0.25">
      <c r="A144" t="s">
        <v>312</v>
      </c>
      <c r="B144" t="s">
        <v>313</v>
      </c>
      <c r="C144" t="s">
        <v>38</v>
      </c>
      <c r="D144" t="s">
        <v>39</v>
      </c>
      <c r="E144" t="s">
        <v>85</v>
      </c>
      <c r="F144" t="s">
        <v>54</v>
      </c>
      <c r="G144">
        <v>12742854</v>
      </c>
      <c r="H144">
        <v>10095895</v>
      </c>
      <c r="I144">
        <v>2646959</v>
      </c>
      <c r="J144">
        <v>0.79</v>
      </c>
      <c r="K144">
        <v>11.46</v>
      </c>
      <c r="L144">
        <v>5</v>
      </c>
      <c r="M144" t="s">
        <v>31</v>
      </c>
      <c r="N144">
        <v>0</v>
      </c>
      <c r="O144" t="s">
        <v>32</v>
      </c>
      <c r="P144">
        <v>0</v>
      </c>
      <c r="Q144">
        <v>1</v>
      </c>
      <c r="R144" t="s">
        <v>33</v>
      </c>
      <c r="S144" t="s">
        <v>79</v>
      </c>
      <c r="T144">
        <v>13</v>
      </c>
      <c r="U144">
        <v>353201622</v>
      </c>
      <c r="V144" t="s">
        <v>35</v>
      </c>
      <c r="W144" s="1">
        <v>44313</v>
      </c>
      <c r="X144" s="1">
        <v>44321</v>
      </c>
      <c r="Y144" s="5">
        <f>IF(Table1[[#This Row],[NPA_Flag]]=1, Table1[[#This Row],[Outstanding_Amount]], 0)</f>
        <v>0</v>
      </c>
      <c r="Z144" s="1">
        <v>46053</v>
      </c>
    </row>
    <row r="145" spans="1:26" x14ac:dyDescent="0.25">
      <c r="A145" t="s">
        <v>314</v>
      </c>
      <c r="B145" t="s">
        <v>315</v>
      </c>
      <c r="C145" t="s">
        <v>38</v>
      </c>
      <c r="D145" t="s">
        <v>61</v>
      </c>
      <c r="E145" t="s">
        <v>53</v>
      </c>
      <c r="F145" t="s">
        <v>30</v>
      </c>
      <c r="G145">
        <v>2797698</v>
      </c>
      <c r="H145">
        <v>2108960</v>
      </c>
      <c r="I145">
        <v>688738</v>
      </c>
      <c r="J145">
        <v>0.75</v>
      </c>
      <c r="K145">
        <v>14.07</v>
      </c>
      <c r="L145">
        <v>24</v>
      </c>
      <c r="M145" t="s">
        <v>31</v>
      </c>
      <c r="N145">
        <v>0</v>
      </c>
      <c r="O145" t="s">
        <v>32</v>
      </c>
      <c r="P145">
        <v>1</v>
      </c>
      <c r="Q145">
        <v>4</v>
      </c>
      <c r="R145" t="s">
        <v>91</v>
      </c>
      <c r="S145" t="s">
        <v>34</v>
      </c>
      <c r="T145">
        <v>16</v>
      </c>
      <c r="U145">
        <v>410223506</v>
      </c>
      <c r="V145" t="s">
        <v>35</v>
      </c>
      <c r="W145" s="1">
        <v>43894</v>
      </c>
      <c r="X145" s="1">
        <v>43898</v>
      </c>
      <c r="Y145" s="5">
        <f>IF(Table1[[#This Row],[NPA_Flag]]=1, Table1[[#This Row],[Outstanding_Amount]], 0)</f>
        <v>0</v>
      </c>
      <c r="Z145" s="1">
        <v>46053</v>
      </c>
    </row>
    <row r="146" spans="1:26" x14ac:dyDescent="0.25">
      <c r="A146" t="s">
        <v>316</v>
      </c>
      <c r="B146" t="s">
        <v>317</v>
      </c>
      <c r="C146" t="s">
        <v>44</v>
      </c>
      <c r="D146" t="s">
        <v>39</v>
      </c>
      <c r="E146" t="s">
        <v>73</v>
      </c>
      <c r="F146" t="s">
        <v>68</v>
      </c>
      <c r="G146">
        <v>6048351</v>
      </c>
      <c r="H146">
        <v>4817989</v>
      </c>
      <c r="I146">
        <v>1230362</v>
      </c>
      <c r="J146">
        <v>0.8</v>
      </c>
      <c r="K146">
        <v>11.64</v>
      </c>
      <c r="L146">
        <v>12</v>
      </c>
      <c r="M146" t="s">
        <v>31</v>
      </c>
      <c r="N146">
        <v>0</v>
      </c>
      <c r="O146" t="s">
        <v>32</v>
      </c>
      <c r="P146">
        <v>1</v>
      </c>
      <c r="Q146">
        <v>1</v>
      </c>
      <c r="R146" t="s">
        <v>33</v>
      </c>
      <c r="S146" t="s">
        <v>48</v>
      </c>
      <c r="T146">
        <v>21</v>
      </c>
      <c r="U146">
        <v>172231094</v>
      </c>
      <c r="V146" t="s">
        <v>58</v>
      </c>
      <c r="W146" s="1">
        <v>45308</v>
      </c>
      <c r="X146" s="1">
        <v>45310</v>
      </c>
      <c r="Y146" s="5">
        <f>IF(Table1[[#This Row],[NPA_Flag]]=1, Table1[[#This Row],[Outstanding_Amount]], 0)</f>
        <v>0</v>
      </c>
      <c r="Z146" s="1">
        <v>46053</v>
      </c>
    </row>
    <row r="147" spans="1:26" x14ac:dyDescent="0.25">
      <c r="A147" t="s">
        <v>318</v>
      </c>
      <c r="B147" t="s">
        <v>191</v>
      </c>
      <c r="C147" t="s">
        <v>38</v>
      </c>
      <c r="D147" t="s">
        <v>39</v>
      </c>
      <c r="E147" t="s">
        <v>40</v>
      </c>
      <c r="F147" t="s">
        <v>54</v>
      </c>
      <c r="G147">
        <v>6643037</v>
      </c>
      <c r="H147">
        <v>5376742</v>
      </c>
      <c r="I147">
        <v>1266295</v>
      </c>
      <c r="J147">
        <v>0.81</v>
      </c>
      <c r="K147">
        <v>11.35</v>
      </c>
      <c r="L147">
        <v>29</v>
      </c>
      <c r="M147" t="s">
        <v>31</v>
      </c>
      <c r="N147">
        <v>0</v>
      </c>
      <c r="O147" t="s">
        <v>32</v>
      </c>
      <c r="P147">
        <v>0</v>
      </c>
      <c r="Q147">
        <v>5</v>
      </c>
      <c r="R147" t="s">
        <v>41</v>
      </c>
      <c r="S147" t="s">
        <v>57</v>
      </c>
      <c r="T147">
        <v>24</v>
      </c>
      <c r="U147">
        <v>126358330</v>
      </c>
      <c r="V147" t="s">
        <v>35</v>
      </c>
      <c r="W147" s="1">
        <v>44481</v>
      </c>
      <c r="X147" s="1">
        <v>44488</v>
      </c>
      <c r="Y147" s="5">
        <f>IF(Table1[[#This Row],[NPA_Flag]]=1, Table1[[#This Row],[Outstanding_Amount]], 0)</f>
        <v>0</v>
      </c>
      <c r="Z147" s="1">
        <v>46053</v>
      </c>
    </row>
    <row r="148" spans="1:26" x14ac:dyDescent="0.25">
      <c r="A148" t="s">
        <v>319</v>
      </c>
      <c r="B148" t="s">
        <v>320</v>
      </c>
      <c r="C148" t="s">
        <v>78</v>
      </c>
      <c r="D148" t="s">
        <v>61</v>
      </c>
      <c r="E148" t="s">
        <v>40</v>
      </c>
      <c r="F148" t="s">
        <v>46</v>
      </c>
      <c r="G148">
        <v>13640166</v>
      </c>
      <c r="H148">
        <v>10984365</v>
      </c>
      <c r="I148">
        <v>2655801</v>
      </c>
      <c r="J148">
        <v>0.81</v>
      </c>
      <c r="K148">
        <v>13.36</v>
      </c>
      <c r="L148">
        <v>29</v>
      </c>
      <c r="M148" t="s">
        <v>31</v>
      </c>
      <c r="N148">
        <v>0</v>
      </c>
      <c r="O148" t="s">
        <v>32</v>
      </c>
      <c r="P148">
        <v>1</v>
      </c>
      <c r="Q148">
        <v>0</v>
      </c>
      <c r="R148" t="s">
        <v>47</v>
      </c>
      <c r="S148" t="s">
        <v>34</v>
      </c>
      <c r="T148">
        <v>25</v>
      </c>
      <c r="U148">
        <v>457896319</v>
      </c>
      <c r="V148" t="s">
        <v>58</v>
      </c>
      <c r="W148" s="1">
        <v>45165</v>
      </c>
      <c r="X148" s="1">
        <v>45167</v>
      </c>
      <c r="Y148" s="5">
        <f>IF(Table1[[#This Row],[NPA_Flag]]=1, Table1[[#This Row],[Outstanding_Amount]], 0)</f>
        <v>0</v>
      </c>
      <c r="Z148" s="1">
        <v>46053</v>
      </c>
    </row>
    <row r="149" spans="1:26" x14ac:dyDescent="0.25">
      <c r="A149" t="s">
        <v>321</v>
      </c>
      <c r="B149" t="s">
        <v>127</v>
      </c>
      <c r="C149" t="s">
        <v>27</v>
      </c>
      <c r="D149" t="s">
        <v>28</v>
      </c>
      <c r="E149" t="s">
        <v>97</v>
      </c>
      <c r="F149" t="s">
        <v>68</v>
      </c>
      <c r="G149">
        <v>4995084</v>
      </c>
      <c r="H149">
        <v>4339249</v>
      </c>
      <c r="I149">
        <v>655835</v>
      </c>
      <c r="J149">
        <v>0.87</v>
      </c>
      <c r="K149">
        <v>11.5</v>
      </c>
      <c r="L149">
        <v>5</v>
      </c>
      <c r="M149" t="s">
        <v>31</v>
      </c>
      <c r="N149">
        <v>0</v>
      </c>
      <c r="O149" t="s">
        <v>32</v>
      </c>
      <c r="P149">
        <v>1</v>
      </c>
      <c r="Q149">
        <v>3</v>
      </c>
      <c r="R149" t="s">
        <v>33</v>
      </c>
      <c r="S149" t="s">
        <v>79</v>
      </c>
      <c r="T149">
        <v>7</v>
      </c>
      <c r="U149">
        <v>119741696</v>
      </c>
      <c r="V149" t="s">
        <v>58</v>
      </c>
      <c r="W149" s="1">
        <v>44719</v>
      </c>
      <c r="X149" s="1">
        <v>44722</v>
      </c>
      <c r="Y149" s="5">
        <f>IF(Table1[[#This Row],[NPA_Flag]]=1, Table1[[#This Row],[Outstanding_Amount]], 0)</f>
        <v>0</v>
      </c>
      <c r="Z149" s="1">
        <v>46053</v>
      </c>
    </row>
    <row r="150" spans="1:26" x14ac:dyDescent="0.25">
      <c r="A150" t="s">
        <v>322</v>
      </c>
      <c r="B150" t="s">
        <v>166</v>
      </c>
      <c r="C150" t="s">
        <v>44</v>
      </c>
      <c r="D150" t="s">
        <v>61</v>
      </c>
      <c r="E150" t="s">
        <v>29</v>
      </c>
      <c r="F150" t="s">
        <v>68</v>
      </c>
      <c r="G150">
        <v>6515429</v>
      </c>
      <c r="H150">
        <v>4715821</v>
      </c>
      <c r="I150">
        <v>1799608</v>
      </c>
      <c r="J150">
        <v>0.72</v>
      </c>
      <c r="K150">
        <v>13.11</v>
      </c>
      <c r="L150">
        <v>19</v>
      </c>
      <c r="M150" t="s">
        <v>31</v>
      </c>
      <c r="N150">
        <v>0</v>
      </c>
      <c r="O150" t="s">
        <v>32</v>
      </c>
      <c r="P150">
        <v>0</v>
      </c>
      <c r="Q150">
        <v>1</v>
      </c>
      <c r="R150" t="s">
        <v>47</v>
      </c>
      <c r="S150" t="s">
        <v>48</v>
      </c>
      <c r="T150">
        <v>18</v>
      </c>
      <c r="U150">
        <v>390956124</v>
      </c>
      <c r="V150" t="s">
        <v>58</v>
      </c>
      <c r="W150" s="1">
        <v>45255</v>
      </c>
      <c r="X150" s="1">
        <v>45259</v>
      </c>
      <c r="Y150" s="5">
        <f>IF(Table1[[#This Row],[NPA_Flag]]=1, Table1[[#This Row],[Outstanding_Amount]], 0)</f>
        <v>0</v>
      </c>
      <c r="Z150" s="1">
        <v>46053</v>
      </c>
    </row>
    <row r="151" spans="1:26" x14ac:dyDescent="0.25">
      <c r="A151" t="s">
        <v>323</v>
      </c>
      <c r="B151" t="s">
        <v>179</v>
      </c>
      <c r="C151" t="s">
        <v>44</v>
      </c>
      <c r="D151" t="s">
        <v>28</v>
      </c>
      <c r="E151" t="s">
        <v>85</v>
      </c>
      <c r="F151" t="s">
        <v>46</v>
      </c>
      <c r="G151">
        <v>9665733</v>
      </c>
      <c r="H151">
        <v>6255011</v>
      </c>
      <c r="I151">
        <v>3410722</v>
      </c>
      <c r="J151">
        <v>0.65</v>
      </c>
      <c r="K151">
        <v>10.5</v>
      </c>
      <c r="L151">
        <v>50</v>
      </c>
      <c r="M151" t="s">
        <v>55</v>
      </c>
      <c r="N151">
        <v>0</v>
      </c>
      <c r="O151" t="s">
        <v>56</v>
      </c>
      <c r="P151">
        <v>1</v>
      </c>
      <c r="Q151">
        <v>3</v>
      </c>
      <c r="R151" t="s">
        <v>47</v>
      </c>
      <c r="S151" t="s">
        <v>57</v>
      </c>
      <c r="T151">
        <v>8</v>
      </c>
      <c r="U151">
        <v>128897753</v>
      </c>
      <c r="V151" t="s">
        <v>58</v>
      </c>
      <c r="W151" s="1">
        <v>44282</v>
      </c>
      <c r="X151" s="1">
        <v>44283</v>
      </c>
      <c r="Y151" s="5">
        <f>IF(Table1[[#This Row],[NPA_Flag]]=1, Table1[[#This Row],[Outstanding_Amount]], 0)</f>
        <v>0</v>
      </c>
      <c r="Z151" s="1">
        <v>46053</v>
      </c>
    </row>
    <row r="152" spans="1:26" x14ac:dyDescent="0.25">
      <c r="A152" t="s">
        <v>324</v>
      </c>
      <c r="B152" t="s">
        <v>306</v>
      </c>
      <c r="C152" t="s">
        <v>78</v>
      </c>
      <c r="D152" t="s">
        <v>61</v>
      </c>
      <c r="E152" t="s">
        <v>29</v>
      </c>
      <c r="F152" t="s">
        <v>30</v>
      </c>
      <c r="G152">
        <v>2549176</v>
      </c>
      <c r="H152">
        <v>2327627</v>
      </c>
      <c r="I152">
        <v>221549</v>
      </c>
      <c r="J152">
        <v>0.91</v>
      </c>
      <c r="K152">
        <v>12.16</v>
      </c>
      <c r="L152">
        <v>21</v>
      </c>
      <c r="M152" t="s">
        <v>31</v>
      </c>
      <c r="N152">
        <v>0</v>
      </c>
      <c r="O152" t="s">
        <v>32</v>
      </c>
      <c r="P152">
        <v>1</v>
      </c>
      <c r="Q152">
        <v>3</v>
      </c>
      <c r="R152" t="s">
        <v>33</v>
      </c>
      <c r="S152" t="s">
        <v>79</v>
      </c>
      <c r="T152">
        <v>1</v>
      </c>
      <c r="U152">
        <v>137727914</v>
      </c>
      <c r="V152" t="s">
        <v>58</v>
      </c>
      <c r="W152" s="1">
        <v>43904</v>
      </c>
      <c r="X152" s="1">
        <v>43912</v>
      </c>
      <c r="Y152" s="5">
        <f>IF(Table1[[#This Row],[NPA_Flag]]=1, Table1[[#This Row],[Outstanding_Amount]], 0)</f>
        <v>0</v>
      </c>
      <c r="Z152" s="1">
        <v>46053</v>
      </c>
    </row>
    <row r="153" spans="1:26" x14ac:dyDescent="0.25">
      <c r="A153" t="s">
        <v>325</v>
      </c>
      <c r="B153" t="s">
        <v>213</v>
      </c>
      <c r="C153" t="s">
        <v>78</v>
      </c>
      <c r="D153" t="s">
        <v>52</v>
      </c>
      <c r="E153" t="s">
        <v>40</v>
      </c>
      <c r="F153" t="s">
        <v>30</v>
      </c>
      <c r="G153">
        <v>6450710</v>
      </c>
      <c r="H153">
        <v>4515563</v>
      </c>
      <c r="I153">
        <v>1935147</v>
      </c>
      <c r="J153">
        <v>0.7</v>
      </c>
      <c r="K153">
        <v>12.99</v>
      </c>
      <c r="L153">
        <v>19</v>
      </c>
      <c r="M153" t="s">
        <v>31</v>
      </c>
      <c r="N153">
        <v>0</v>
      </c>
      <c r="O153" t="s">
        <v>32</v>
      </c>
      <c r="P153">
        <v>0</v>
      </c>
      <c r="Q153">
        <v>0</v>
      </c>
      <c r="R153" t="s">
        <v>91</v>
      </c>
      <c r="S153" t="s">
        <v>57</v>
      </c>
      <c r="T153">
        <v>10</v>
      </c>
      <c r="U153">
        <v>198152209</v>
      </c>
      <c r="V153" t="s">
        <v>65</v>
      </c>
      <c r="W153" s="1">
        <v>44731</v>
      </c>
      <c r="X153" s="1">
        <v>44735</v>
      </c>
      <c r="Y153" s="5">
        <f>IF(Table1[[#This Row],[NPA_Flag]]=1, Table1[[#This Row],[Outstanding_Amount]], 0)</f>
        <v>0</v>
      </c>
      <c r="Z153" s="1">
        <v>46053</v>
      </c>
    </row>
    <row r="154" spans="1:26" x14ac:dyDescent="0.25">
      <c r="A154" t="s">
        <v>326</v>
      </c>
      <c r="B154" t="s">
        <v>207</v>
      </c>
      <c r="C154" t="s">
        <v>27</v>
      </c>
      <c r="D154" t="s">
        <v>28</v>
      </c>
      <c r="E154" t="s">
        <v>82</v>
      </c>
      <c r="F154" t="s">
        <v>30</v>
      </c>
      <c r="G154">
        <v>4095647</v>
      </c>
      <c r="H154">
        <v>2890019</v>
      </c>
      <c r="I154">
        <v>1205628</v>
      </c>
      <c r="J154">
        <v>0.71</v>
      </c>
      <c r="K154">
        <v>9.9</v>
      </c>
      <c r="L154">
        <v>25</v>
      </c>
      <c r="M154" t="s">
        <v>31</v>
      </c>
      <c r="N154">
        <v>0</v>
      </c>
      <c r="O154" t="s">
        <v>32</v>
      </c>
      <c r="P154">
        <v>0</v>
      </c>
      <c r="Q154">
        <v>2</v>
      </c>
      <c r="R154" t="s">
        <v>41</v>
      </c>
      <c r="S154" t="s">
        <v>48</v>
      </c>
      <c r="T154">
        <v>18</v>
      </c>
      <c r="U154">
        <v>119606856</v>
      </c>
      <c r="V154" t="s">
        <v>35</v>
      </c>
      <c r="W154" s="1">
        <v>44831</v>
      </c>
      <c r="X154" s="1">
        <v>44834</v>
      </c>
      <c r="Y154" s="5">
        <f>IF(Table1[[#This Row],[NPA_Flag]]=1, Table1[[#This Row],[Outstanding_Amount]], 0)</f>
        <v>0</v>
      </c>
      <c r="Z154" s="1">
        <v>46053</v>
      </c>
    </row>
    <row r="155" spans="1:26" x14ac:dyDescent="0.25">
      <c r="A155" t="s">
        <v>327</v>
      </c>
      <c r="B155" t="s">
        <v>328</v>
      </c>
      <c r="C155" t="s">
        <v>44</v>
      </c>
      <c r="D155" t="s">
        <v>28</v>
      </c>
      <c r="E155" t="s">
        <v>102</v>
      </c>
      <c r="F155" t="s">
        <v>46</v>
      </c>
      <c r="G155">
        <v>2392617</v>
      </c>
      <c r="H155">
        <v>1463307</v>
      </c>
      <c r="I155">
        <v>929310</v>
      </c>
      <c r="J155">
        <v>0.61</v>
      </c>
      <c r="K155">
        <v>12.62</v>
      </c>
      <c r="L155">
        <v>40</v>
      </c>
      <c r="M155" t="s">
        <v>55</v>
      </c>
      <c r="N155">
        <v>0</v>
      </c>
      <c r="O155" t="s">
        <v>56</v>
      </c>
      <c r="P155">
        <v>1</v>
      </c>
      <c r="Q155">
        <v>3</v>
      </c>
      <c r="R155" t="s">
        <v>41</v>
      </c>
      <c r="S155" t="s">
        <v>34</v>
      </c>
      <c r="T155">
        <v>4</v>
      </c>
      <c r="U155">
        <v>121022333</v>
      </c>
      <c r="V155" t="s">
        <v>58</v>
      </c>
      <c r="W155" s="1">
        <v>44560</v>
      </c>
      <c r="X155" s="1">
        <v>44561</v>
      </c>
      <c r="Y155" s="5">
        <f>IF(Table1[[#This Row],[NPA_Flag]]=1, Table1[[#This Row],[Outstanding_Amount]], 0)</f>
        <v>0</v>
      </c>
      <c r="Z155" s="1">
        <v>46053</v>
      </c>
    </row>
    <row r="156" spans="1:26" x14ac:dyDescent="0.25">
      <c r="A156" t="s">
        <v>329</v>
      </c>
      <c r="B156" t="s">
        <v>157</v>
      </c>
      <c r="C156" t="s">
        <v>44</v>
      </c>
      <c r="D156" t="s">
        <v>28</v>
      </c>
      <c r="E156" t="s">
        <v>85</v>
      </c>
      <c r="F156" t="s">
        <v>46</v>
      </c>
      <c r="G156">
        <v>2737762</v>
      </c>
      <c r="H156">
        <v>2050233</v>
      </c>
      <c r="I156">
        <v>687529</v>
      </c>
      <c r="J156">
        <v>0.75</v>
      </c>
      <c r="K156">
        <v>14.42</v>
      </c>
      <c r="L156">
        <v>34</v>
      </c>
      <c r="M156" t="s">
        <v>55</v>
      </c>
      <c r="N156">
        <v>0</v>
      </c>
      <c r="O156" t="s">
        <v>56</v>
      </c>
      <c r="P156">
        <v>0</v>
      </c>
      <c r="Q156">
        <v>3</v>
      </c>
      <c r="R156" t="s">
        <v>47</v>
      </c>
      <c r="S156" t="s">
        <v>57</v>
      </c>
      <c r="T156">
        <v>8</v>
      </c>
      <c r="U156">
        <v>78997504</v>
      </c>
      <c r="V156" t="s">
        <v>65</v>
      </c>
      <c r="W156" s="1">
        <v>44249</v>
      </c>
      <c r="X156" s="1">
        <v>44257</v>
      </c>
      <c r="Y156" s="5">
        <f>IF(Table1[[#This Row],[NPA_Flag]]=1, Table1[[#This Row],[Outstanding_Amount]], 0)</f>
        <v>0</v>
      </c>
      <c r="Z156" s="1">
        <v>46053</v>
      </c>
    </row>
    <row r="157" spans="1:26" x14ac:dyDescent="0.25">
      <c r="A157" t="s">
        <v>330</v>
      </c>
      <c r="B157" t="s">
        <v>331</v>
      </c>
      <c r="C157" t="s">
        <v>78</v>
      </c>
      <c r="D157" t="s">
        <v>39</v>
      </c>
      <c r="E157" t="s">
        <v>73</v>
      </c>
      <c r="F157" t="s">
        <v>46</v>
      </c>
      <c r="G157">
        <v>10685985</v>
      </c>
      <c r="H157">
        <v>9379614</v>
      </c>
      <c r="I157">
        <v>1306371</v>
      </c>
      <c r="J157">
        <v>0.88</v>
      </c>
      <c r="K157">
        <v>10.73</v>
      </c>
      <c r="L157">
        <v>6</v>
      </c>
      <c r="M157" t="s">
        <v>31</v>
      </c>
      <c r="N157">
        <v>0</v>
      </c>
      <c r="O157" t="s">
        <v>32</v>
      </c>
      <c r="P157">
        <v>0</v>
      </c>
      <c r="Q157">
        <v>4</v>
      </c>
      <c r="R157" t="s">
        <v>33</v>
      </c>
      <c r="S157" t="s">
        <v>57</v>
      </c>
      <c r="T157">
        <v>20</v>
      </c>
      <c r="U157">
        <v>495682416</v>
      </c>
      <c r="V157" t="s">
        <v>65</v>
      </c>
      <c r="W157" s="1">
        <v>45089</v>
      </c>
      <c r="X157" s="1">
        <v>45093</v>
      </c>
      <c r="Y157" s="5">
        <f>IF(Table1[[#This Row],[NPA_Flag]]=1, Table1[[#This Row],[Outstanding_Amount]], 0)</f>
        <v>0</v>
      </c>
      <c r="Z157" s="1">
        <v>46053</v>
      </c>
    </row>
    <row r="158" spans="1:26" x14ac:dyDescent="0.25">
      <c r="A158" t="s">
        <v>332</v>
      </c>
      <c r="B158" t="s">
        <v>333</v>
      </c>
      <c r="C158" t="s">
        <v>38</v>
      </c>
      <c r="D158" t="s">
        <v>61</v>
      </c>
      <c r="E158" t="s">
        <v>73</v>
      </c>
      <c r="F158" t="s">
        <v>30</v>
      </c>
      <c r="G158">
        <v>4704793</v>
      </c>
      <c r="H158">
        <v>3186423</v>
      </c>
      <c r="I158">
        <v>1518370</v>
      </c>
      <c r="J158">
        <v>0.68</v>
      </c>
      <c r="K158">
        <v>10.45</v>
      </c>
      <c r="L158">
        <v>19</v>
      </c>
      <c r="M158" t="s">
        <v>31</v>
      </c>
      <c r="N158">
        <v>0</v>
      </c>
      <c r="O158" t="s">
        <v>32</v>
      </c>
      <c r="P158">
        <v>1</v>
      </c>
      <c r="Q158">
        <v>4</v>
      </c>
      <c r="R158" t="s">
        <v>91</v>
      </c>
      <c r="S158" t="s">
        <v>48</v>
      </c>
      <c r="T158">
        <v>7</v>
      </c>
      <c r="U158">
        <v>224907018</v>
      </c>
      <c r="V158" t="s">
        <v>49</v>
      </c>
      <c r="W158" s="1">
        <v>44582</v>
      </c>
      <c r="X158" s="1">
        <v>44588</v>
      </c>
      <c r="Y158" s="5">
        <f>IF(Table1[[#This Row],[NPA_Flag]]=1, Table1[[#This Row],[Outstanding_Amount]], 0)</f>
        <v>0</v>
      </c>
      <c r="Z158" s="1">
        <v>46053</v>
      </c>
    </row>
    <row r="159" spans="1:26" x14ac:dyDescent="0.25">
      <c r="A159" t="s">
        <v>334</v>
      </c>
      <c r="B159" t="s">
        <v>309</v>
      </c>
      <c r="C159" t="s">
        <v>78</v>
      </c>
      <c r="D159" t="s">
        <v>52</v>
      </c>
      <c r="E159" t="s">
        <v>97</v>
      </c>
      <c r="F159" t="s">
        <v>46</v>
      </c>
      <c r="G159">
        <v>7729453</v>
      </c>
      <c r="H159">
        <v>6956060</v>
      </c>
      <c r="I159">
        <v>773393</v>
      </c>
      <c r="J159">
        <v>0.9</v>
      </c>
      <c r="K159">
        <v>12.61</v>
      </c>
      <c r="L159">
        <v>19</v>
      </c>
      <c r="M159" t="s">
        <v>31</v>
      </c>
      <c r="N159">
        <v>0</v>
      </c>
      <c r="O159" t="s">
        <v>32</v>
      </c>
      <c r="P159">
        <v>0</v>
      </c>
      <c r="Q159">
        <v>3</v>
      </c>
      <c r="R159" t="s">
        <v>33</v>
      </c>
      <c r="S159" t="s">
        <v>64</v>
      </c>
      <c r="T159">
        <v>1</v>
      </c>
      <c r="U159">
        <v>119940850</v>
      </c>
      <c r="V159" t="s">
        <v>35</v>
      </c>
      <c r="W159" s="1">
        <v>44648</v>
      </c>
      <c r="X159" s="1">
        <v>44649</v>
      </c>
      <c r="Y159" s="5">
        <f>IF(Table1[[#This Row],[NPA_Flag]]=1, Table1[[#This Row],[Outstanding_Amount]], 0)</f>
        <v>0</v>
      </c>
      <c r="Z159" s="1">
        <v>46053</v>
      </c>
    </row>
    <row r="160" spans="1:26" x14ac:dyDescent="0.25">
      <c r="A160" t="s">
        <v>335</v>
      </c>
      <c r="B160" t="s">
        <v>336</v>
      </c>
      <c r="C160" t="s">
        <v>44</v>
      </c>
      <c r="D160" t="s">
        <v>39</v>
      </c>
      <c r="E160" t="s">
        <v>29</v>
      </c>
      <c r="F160" t="s">
        <v>46</v>
      </c>
      <c r="G160">
        <v>7676101</v>
      </c>
      <c r="H160">
        <v>4733886</v>
      </c>
      <c r="I160">
        <v>2942215</v>
      </c>
      <c r="J160">
        <v>0.62</v>
      </c>
      <c r="K160">
        <v>11.93</v>
      </c>
      <c r="L160">
        <v>23</v>
      </c>
      <c r="M160" t="s">
        <v>31</v>
      </c>
      <c r="N160">
        <v>0</v>
      </c>
      <c r="O160" t="s">
        <v>32</v>
      </c>
      <c r="P160">
        <v>0</v>
      </c>
      <c r="Q160">
        <v>2</v>
      </c>
      <c r="R160" t="s">
        <v>41</v>
      </c>
      <c r="S160" t="s">
        <v>79</v>
      </c>
      <c r="T160">
        <v>14</v>
      </c>
      <c r="U160">
        <v>417677747</v>
      </c>
      <c r="V160" t="s">
        <v>49</v>
      </c>
      <c r="W160" s="1">
        <v>45190</v>
      </c>
      <c r="X160" s="1">
        <v>45191</v>
      </c>
      <c r="Y160" s="5">
        <f>IF(Table1[[#This Row],[NPA_Flag]]=1, Table1[[#This Row],[Outstanding_Amount]], 0)</f>
        <v>0</v>
      </c>
      <c r="Z160" s="1">
        <v>46053</v>
      </c>
    </row>
    <row r="161" spans="1:26" x14ac:dyDescent="0.25">
      <c r="A161" t="s">
        <v>337</v>
      </c>
      <c r="B161" t="s">
        <v>179</v>
      </c>
      <c r="C161" t="s">
        <v>27</v>
      </c>
      <c r="D161" t="s">
        <v>61</v>
      </c>
      <c r="E161" t="s">
        <v>40</v>
      </c>
      <c r="F161" t="s">
        <v>54</v>
      </c>
      <c r="G161">
        <v>11152695</v>
      </c>
      <c r="H161">
        <v>9963904</v>
      </c>
      <c r="I161">
        <v>1188791</v>
      </c>
      <c r="J161">
        <v>0.89</v>
      </c>
      <c r="K161">
        <v>12.9</v>
      </c>
      <c r="L161">
        <v>156</v>
      </c>
      <c r="M161" t="s">
        <v>69</v>
      </c>
      <c r="N161">
        <v>1</v>
      </c>
      <c r="O161" t="s">
        <v>70</v>
      </c>
      <c r="P161">
        <v>0</v>
      </c>
      <c r="Q161">
        <v>5</v>
      </c>
      <c r="R161" t="s">
        <v>41</v>
      </c>
      <c r="S161" t="s">
        <v>79</v>
      </c>
      <c r="T161">
        <v>12</v>
      </c>
      <c r="U161">
        <v>414837238</v>
      </c>
      <c r="V161" t="s">
        <v>35</v>
      </c>
      <c r="W161" s="1">
        <v>45266</v>
      </c>
      <c r="X161" s="1">
        <v>45268</v>
      </c>
      <c r="Y161" s="5">
        <f>IF(Table1[[#This Row],[NPA_Flag]]=1, Table1[[#This Row],[Outstanding_Amount]], 0)</f>
        <v>9963904</v>
      </c>
      <c r="Z161" s="1">
        <v>46053</v>
      </c>
    </row>
    <row r="162" spans="1:26" x14ac:dyDescent="0.25">
      <c r="A162" t="s">
        <v>338</v>
      </c>
      <c r="B162" t="s">
        <v>235</v>
      </c>
      <c r="C162" t="s">
        <v>38</v>
      </c>
      <c r="D162" t="s">
        <v>39</v>
      </c>
      <c r="E162" t="s">
        <v>40</v>
      </c>
      <c r="F162" t="s">
        <v>46</v>
      </c>
      <c r="G162">
        <v>6365968</v>
      </c>
      <c r="H162">
        <v>4547062</v>
      </c>
      <c r="I162">
        <v>1818906</v>
      </c>
      <c r="J162">
        <v>0.71</v>
      </c>
      <c r="K162">
        <v>12.27</v>
      </c>
      <c r="L162">
        <v>28</v>
      </c>
      <c r="M162" t="s">
        <v>31</v>
      </c>
      <c r="N162">
        <v>0</v>
      </c>
      <c r="O162" t="s">
        <v>32</v>
      </c>
      <c r="P162">
        <v>0</v>
      </c>
      <c r="Q162">
        <v>2</v>
      </c>
      <c r="R162" t="s">
        <v>41</v>
      </c>
      <c r="S162" t="s">
        <v>64</v>
      </c>
      <c r="T162">
        <v>24</v>
      </c>
      <c r="U162">
        <v>167578908</v>
      </c>
      <c r="V162" t="s">
        <v>65</v>
      </c>
      <c r="W162" s="1">
        <v>44017</v>
      </c>
      <c r="X162" s="1">
        <v>44023</v>
      </c>
      <c r="Y162" s="5">
        <f>IF(Table1[[#This Row],[NPA_Flag]]=1, Table1[[#This Row],[Outstanding_Amount]], 0)</f>
        <v>0</v>
      </c>
      <c r="Z162" s="1">
        <v>46053</v>
      </c>
    </row>
    <row r="163" spans="1:26" x14ac:dyDescent="0.25">
      <c r="A163" t="s">
        <v>339</v>
      </c>
      <c r="B163" t="s">
        <v>340</v>
      </c>
      <c r="C163" t="s">
        <v>44</v>
      </c>
      <c r="D163" t="s">
        <v>61</v>
      </c>
      <c r="E163" t="s">
        <v>40</v>
      </c>
      <c r="F163" t="s">
        <v>54</v>
      </c>
      <c r="G163">
        <v>11432760</v>
      </c>
      <c r="H163">
        <v>8125340</v>
      </c>
      <c r="I163">
        <v>3307420</v>
      </c>
      <c r="J163">
        <v>0.71</v>
      </c>
      <c r="K163">
        <v>12.67</v>
      </c>
      <c r="L163">
        <v>9</v>
      </c>
      <c r="M163" t="s">
        <v>31</v>
      </c>
      <c r="N163">
        <v>0</v>
      </c>
      <c r="O163" t="s">
        <v>32</v>
      </c>
      <c r="P163">
        <v>0</v>
      </c>
      <c r="Q163">
        <v>0</v>
      </c>
      <c r="R163" t="s">
        <v>91</v>
      </c>
      <c r="S163" t="s">
        <v>79</v>
      </c>
      <c r="T163">
        <v>24</v>
      </c>
      <c r="U163">
        <v>380955360</v>
      </c>
      <c r="V163" t="s">
        <v>58</v>
      </c>
      <c r="W163" s="1">
        <v>45213</v>
      </c>
      <c r="X163" s="1">
        <v>45217</v>
      </c>
      <c r="Y163" s="5">
        <f>IF(Table1[[#This Row],[NPA_Flag]]=1, Table1[[#This Row],[Outstanding_Amount]], 0)</f>
        <v>0</v>
      </c>
      <c r="Z163" s="1">
        <v>46053</v>
      </c>
    </row>
    <row r="164" spans="1:26" x14ac:dyDescent="0.25">
      <c r="A164" t="s">
        <v>341</v>
      </c>
      <c r="B164" t="s">
        <v>309</v>
      </c>
      <c r="C164" t="s">
        <v>78</v>
      </c>
      <c r="D164" t="s">
        <v>39</v>
      </c>
      <c r="E164" t="s">
        <v>45</v>
      </c>
      <c r="F164" t="s">
        <v>30</v>
      </c>
      <c r="G164">
        <v>3657349</v>
      </c>
      <c r="H164">
        <v>2593538</v>
      </c>
      <c r="I164">
        <v>1063811</v>
      </c>
      <c r="J164">
        <v>0.71</v>
      </c>
      <c r="K164">
        <v>14.4</v>
      </c>
      <c r="L164">
        <v>29</v>
      </c>
      <c r="M164" t="s">
        <v>31</v>
      </c>
      <c r="N164">
        <v>0</v>
      </c>
      <c r="O164" t="s">
        <v>32</v>
      </c>
      <c r="P164">
        <v>1</v>
      </c>
      <c r="Q164">
        <v>3</v>
      </c>
      <c r="R164" t="s">
        <v>33</v>
      </c>
      <c r="S164" t="s">
        <v>79</v>
      </c>
      <c r="T164">
        <v>17</v>
      </c>
      <c r="U164">
        <v>219647223</v>
      </c>
      <c r="V164" t="s">
        <v>35</v>
      </c>
      <c r="W164" s="1">
        <v>44094</v>
      </c>
      <c r="X164" s="1">
        <v>44097</v>
      </c>
      <c r="Y164" s="5">
        <f>IF(Table1[[#This Row],[NPA_Flag]]=1, Table1[[#This Row],[Outstanding_Amount]], 0)</f>
        <v>0</v>
      </c>
      <c r="Z164" s="1">
        <v>46053</v>
      </c>
    </row>
    <row r="165" spans="1:26" x14ac:dyDescent="0.25">
      <c r="A165" t="s">
        <v>342</v>
      </c>
      <c r="B165" t="s">
        <v>125</v>
      </c>
      <c r="C165" t="s">
        <v>27</v>
      </c>
      <c r="D165" t="s">
        <v>39</v>
      </c>
      <c r="E165" t="s">
        <v>53</v>
      </c>
      <c r="F165" t="s">
        <v>30</v>
      </c>
      <c r="G165">
        <v>8984983</v>
      </c>
      <c r="H165">
        <v>5654992</v>
      </c>
      <c r="I165">
        <v>3329991</v>
      </c>
      <c r="J165">
        <v>0.63</v>
      </c>
      <c r="K165">
        <v>9.0399999999999991</v>
      </c>
      <c r="L165">
        <v>3</v>
      </c>
      <c r="M165" t="s">
        <v>31</v>
      </c>
      <c r="N165">
        <v>0</v>
      </c>
      <c r="O165" t="s">
        <v>32</v>
      </c>
      <c r="P165">
        <v>1</v>
      </c>
      <c r="Q165">
        <v>1</v>
      </c>
      <c r="R165" t="s">
        <v>47</v>
      </c>
      <c r="S165" t="s">
        <v>57</v>
      </c>
      <c r="T165">
        <v>4</v>
      </c>
      <c r="U165">
        <v>109908148</v>
      </c>
      <c r="V165" t="s">
        <v>65</v>
      </c>
      <c r="W165" s="1">
        <v>44498</v>
      </c>
      <c r="X165" s="1">
        <v>44499</v>
      </c>
      <c r="Y165" s="5">
        <f>IF(Table1[[#This Row],[NPA_Flag]]=1, Table1[[#This Row],[Outstanding_Amount]], 0)</f>
        <v>0</v>
      </c>
      <c r="Z165" s="1">
        <v>46053</v>
      </c>
    </row>
    <row r="166" spans="1:26" x14ac:dyDescent="0.25">
      <c r="A166" t="s">
        <v>343</v>
      </c>
      <c r="B166" t="s">
        <v>344</v>
      </c>
      <c r="C166" t="s">
        <v>38</v>
      </c>
      <c r="D166" t="s">
        <v>39</v>
      </c>
      <c r="E166" t="s">
        <v>53</v>
      </c>
      <c r="F166" t="s">
        <v>30</v>
      </c>
      <c r="G166">
        <v>14453211</v>
      </c>
      <c r="H166">
        <v>10533624</v>
      </c>
      <c r="I166">
        <v>3919587</v>
      </c>
      <c r="J166">
        <v>0.73</v>
      </c>
      <c r="K166">
        <v>14.01</v>
      </c>
      <c r="L166">
        <v>29</v>
      </c>
      <c r="M166" t="s">
        <v>31</v>
      </c>
      <c r="N166">
        <v>0</v>
      </c>
      <c r="O166" t="s">
        <v>32</v>
      </c>
      <c r="P166">
        <v>1</v>
      </c>
      <c r="Q166">
        <v>4</v>
      </c>
      <c r="R166" t="s">
        <v>33</v>
      </c>
      <c r="S166" t="s">
        <v>34</v>
      </c>
      <c r="T166">
        <v>21</v>
      </c>
      <c r="U166">
        <v>480461316</v>
      </c>
      <c r="V166" t="s">
        <v>65</v>
      </c>
      <c r="W166" s="1">
        <v>44085</v>
      </c>
      <c r="X166" s="1">
        <v>44095</v>
      </c>
      <c r="Y166" s="5">
        <f>IF(Table1[[#This Row],[NPA_Flag]]=1, Table1[[#This Row],[Outstanding_Amount]], 0)</f>
        <v>0</v>
      </c>
      <c r="Z166" s="1">
        <v>46053</v>
      </c>
    </row>
    <row r="167" spans="1:26" x14ac:dyDescent="0.25">
      <c r="A167" t="s">
        <v>345</v>
      </c>
      <c r="B167" t="s">
        <v>306</v>
      </c>
      <c r="C167" t="s">
        <v>38</v>
      </c>
      <c r="D167" t="s">
        <v>61</v>
      </c>
      <c r="E167" t="s">
        <v>85</v>
      </c>
      <c r="F167" t="s">
        <v>68</v>
      </c>
      <c r="G167">
        <v>7774853</v>
      </c>
      <c r="H167">
        <v>7221363</v>
      </c>
      <c r="I167">
        <v>553490</v>
      </c>
      <c r="J167">
        <v>0.93</v>
      </c>
      <c r="K167">
        <v>13.24</v>
      </c>
      <c r="L167">
        <v>0</v>
      </c>
      <c r="M167" t="s">
        <v>31</v>
      </c>
      <c r="N167">
        <v>0</v>
      </c>
      <c r="O167" t="s">
        <v>32</v>
      </c>
      <c r="P167">
        <v>0</v>
      </c>
      <c r="Q167">
        <v>1</v>
      </c>
      <c r="R167" t="s">
        <v>33</v>
      </c>
      <c r="S167" t="s">
        <v>64</v>
      </c>
      <c r="T167">
        <v>4</v>
      </c>
      <c r="U167">
        <v>184699964</v>
      </c>
      <c r="V167" t="s">
        <v>49</v>
      </c>
      <c r="W167" s="1">
        <v>44655</v>
      </c>
      <c r="X167" s="1">
        <v>44660</v>
      </c>
      <c r="Y167" s="5">
        <f>IF(Table1[[#This Row],[NPA_Flag]]=1, Table1[[#This Row],[Outstanding_Amount]], 0)</f>
        <v>0</v>
      </c>
      <c r="Z167" s="1">
        <v>46053</v>
      </c>
    </row>
    <row r="168" spans="1:26" x14ac:dyDescent="0.25">
      <c r="A168" t="s">
        <v>346</v>
      </c>
      <c r="B168" t="s">
        <v>340</v>
      </c>
      <c r="C168" t="s">
        <v>44</v>
      </c>
      <c r="D168" t="s">
        <v>39</v>
      </c>
      <c r="E168" t="s">
        <v>102</v>
      </c>
      <c r="F168" t="s">
        <v>30</v>
      </c>
      <c r="G168">
        <v>11240037</v>
      </c>
      <c r="H168">
        <v>9137531</v>
      </c>
      <c r="I168">
        <v>2102506</v>
      </c>
      <c r="J168">
        <v>0.81</v>
      </c>
      <c r="K168">
        <v>14.21</v>
      </c>
      <c r="L168">
        <v>7</v>
      </c>
      <c r="M168" t="s">
        <v>31</v>
      </c>
      <c r="N168">
        <v>0</v>
      </c>
      <c r="O168" t="s">
        <v>32</v>
      </c>
      <c r="P168">
        <v>0</v>
      </c>
      <c r="Q168">
        <v>5</v>
      </c>
      <c r="R168" t="s">
        <v>47</v>
      </c>
      <c r="S168" t="s">
        <v>57</v>
      </c>
      <c r="T168">
        <v>4</v>
      </c>
      <c r="U168">
        <v>139236640</v>
      </c>
      <c r="V168" t="s">
        <v>65</v>
      </c>
      <c r="W168" s="1">
        <v>44889</v>
      </c>
      <c r="X168" s="1">
        <v>44892</v>
      </c>
      <c r="Y168" s="5">
        <f>IF(Table1[[#This Row],[NPA_Flag]]=1, Table1[[#This Row],[Outstanding_Amount]], 0)</f>
        <v>0</v>
      </c>
      <c r="Z168" s="1">
        <v>46053</v>
      </c>
    </row>
    <row r="169" spans="1:26" x14ac:dyDescent="0.25">
      <c r="A169" t="s">
        <v>347</v>
      </c>
      <c r="B169" t="s">
        <v>289</v>
      </c>
      <c r="C169" t="s">
        <v>78</v>
      </c>
      <c r="D169" t="s">
        <v>61</v>
      </c>
      <c r="E169" t="s">
        <v>94</v>
      </c>
      <c r="F169" t="s">
        <v>30</v>
      </c>
      <c r="G169">
        <v>13089966</v>
      </c>
      <c r="H169">
        <v>10957827</v>
      </c>
      <c r="I169">
        <v>2132139</v>
      </c>
      <c r="J169">
        <v>0.84</v>
      </c>
      <c r="K169">
        <v>10.69</v>
      </c>
      <c r="L169">
        <v>18</v>
      </c>
      <c r="M169" t="s">
        <v>31</v>
      </c>
      <c r="N169">
        <v>0</v>
      </c>
      <c r="O169" t="s">
        <v>32</v>
      </c>
      <c r="P169">
        <v>1</v>
      </c>
      <c r="Q169">
        <v>0</v>
      </c>
      <c r="R169" t="s">
        <v>33</v>
      </c>
      <c r="S169" t="s">
        <v>57</v>
      </c>
      <c r="T169">
        <v>2</v>
      </c>
      <c r="U169">
        <v>300024573</v>
      </c>
      <c r="V169" t="s">
        <v>35</v>
      </c>
      <c r="W169" s="1">
        <v>45108</v>
      </c>
      <c r="X169" s="1">
        <v>45109</v>
      </c>
      <c r="Y169" s="5">
        <f>IF(Table1[[#This Row],[NPA_Flag]]=1, Table1[[#This Row],[Outstanding_Amount]], 0)</f>
        <v>0</v>
      </c>
      <c r="Z169" s="1">
        <v>46053</v>
      </c>
    </row>
    <row r="170" spans="1:26" x14ac:dyDescent="0.25">
      <c r="A170" t="s">
        <v>348</v>
      </c>
      <c r="B170" t="s">
        <v>279</v>
      </c>
      <c r="C170" t="s">
        <v>27</v>
      </c>
      <c r="D170" t="s">
        <v>28</v>
      </c>
      <c r="E170" t="s">
        <v>45</v>
      </c>
      <c r="F170" t="s">
        <v>54</v>
      </c>
      <c r="G170">
        <v>11367093</v>
      </c>
      <c r="H170">
        <v>10051453</v>
      </c>
      <c r="I170">
        <v>1315640</v>
      </c>
      <c r="J170">
        <v>0.88</v>
      </c>
      <c r="K170">
        <v>13.27</v>
      </c>
      <c r="L170">
        <v>11</v>
      </c>
      <c r="M170" t="s">
        <v>31</v>
      </c>
      <c r="N170">
        <v>0</v>
      </c>
      <c r="O170" t="s">
        <v>32</v>
      </c>
      <c r="P170">
        <v>0</v>
      </c>
      <c r="Q170">
        <v>4</v>
      </c>
      <c r="R170" t="s">
        <v>91</v>
      </c>
      <c r="S170" t="s">
        <v>48</v>
      </c>
      <c r="T170">
        <v>8</v>
      </c>
      <c r="U170">
        <v>457605093</v>
      </c>
      <c r="V170" t="s">
        <v>35</v>
      </c>
      <c r="W170" s="1">
        <v>44569</v>
      </c>
      <c r="X170" s="1">
        <v>44570</v>
      </c>
      <c r="Y170" s="5">
        <f>IF(Table1[[#This Row],[NPA_Flag]]=1, Table1[[#This Row],[Outstanding_Amount]], 0)</f>
        <v>0</v>
      </c>
      <c r="Z170" s="1">
        <v>46053</v>
      </c>
    </row>
    <row r="171" spans="1:26" x14ac:dyDescent="0.25">
      <c r="A171" t="s">
        <v>349</v>
      </c>
      <c r="B171" t="s">
        <v>350</v>
      </c>
      <c r="C171" t="s">
        <v>78</v>
      </c>
      <c r="D171" t="s">
        <v>39</v>
      </c>
      <c r="E171" t="s">
        <v>82</v>
      </c>
      <c r="F171" t="s">
        <v>46</v>
      </c>
      <c r="G171">
        <v>2177314</v>
      </c>
      <c r="H171">
        <v>1385194</v>
      </c>
      <c r="I171">
        <v>792120</v>
      </c>
      <c r="J171">
        <v>0.64</v>
      </c>
      <c r="K171">
        <v>9.6300000000000008</v>
      </c>
      <c r="L171">
        <v>73</v>
      </c>
      <c r="M171" t="s">
        <v>90</v>
      </c>
      <c r="N171">
        <v>0</v>
      </c>
      <c r="O171" t="s">
        <v>70</v>
      </c>
      <c r="P171">
        <v>0</v>
      </c>
      <c r="Q171">
        <v>5</v>
      </c>
      <c r="R171" t="s">
        <v>47</v>
      </c>
      <c r="S171" t="s">
        <v>57</v>
      </c>
      <c r="T171">
        <v>14</v>
      </c>
      <c r="U171">
        <v>368128376</v>
      </c>
      <c r="V171" t="s">
        <v>49</v>
      </c>
      <c r="W171" s="1">
        <v>45293</v>
      </c>
      <c r="X171" s="1">
        <v>45297</v>
      </c>
      <c r="Y171" s="5">
        <f>IF(Table1[[#This Row],[NPA_Flag]]=1, Table1[[#This Row],[Outstanding_Amount]], 0)</f>
        <v>0</v>
      </c>
      <c r="Z171" s="1">
        <v>46053</v>
      </c>
    </row>
    <row r="172" spans="1:26" x14ac:dyDescent="0.25">
      <c r="A172" t="s">
        <v>351</v>
      </c>
      <c r="B172" t="s">
        <v>352</v>
      </c>
      <c r="C172" t="s">
        <v>78</v>
      </c>
      <c r="D172" t="s">
        <v>28</v>
      </c>
      <c r="E172" t="s">
        <v>73</v>
      </c>
      <c r="F172" t="s">
        <v>68</v>
      </c>
      <c r="G172">
        <v>6960158</v>
      </c>
      <c r="H172">
        <v>5289339</v>
      </c>
      <c r="I172">
        <v>1670819</v>
      </c>
      <c r="J172">
        <v>0.76</v>
      </c>
      <c r="K172">
        <v>11.71</v>
      </c>
      <c r="L172">
        <v>18</v>
      </c>
      <c r="M172" t="s">
        <v>31</v>
      </c>
      <c r="N172">
        <v>0</v>
      </c>
      <c r="O172" t="s">
        <v>32</v>
      </c>
      <c r="P172">
        <v>1</v>
      </c>
      <c r="Q172">
        <v>0</v>
      </c>
      <c r="R172" t="s">
        <v>91</v>
      </c>
      <c r="S172" t="s">
        <v>79</v>
      </c>
      <c r="T172">
        <v>13</v>
      </c>
      <c r="U172">
        <v>320620468</v>
      </c>
      <c r="V172" t="s">
        <v>65</v>
      </c>
      <c r="W172" s="1">
        <v>44089</v>
      </c>
      <c r="X172" s="1">
        <v>44099</v>
      </c>
      <c r="Y172" s="5">
        <f>IF(Table1[[#This Row],[NPA_Flag]]=1, Table1[[#This Row],[Outstanding_Amount]], 0)</f>
        <v>0</v>
      </c>
      <c r="Z172" s="1">
        <v>46053</v>
      </c>
    </row>
    <row r="173" spans="1:26" x14ac:dyDescent="0.25">
      <c r="A173" t="s">
        <v>353</v>
      </c>
      <c r="B173" t="s">
        <v>317</v>
      </c>
      <c r="C173" t="s">
        <v>38</v>
      </c>
      <c r="D173" t="s">
        <v>52</v>
      </c>
      <c r="E173" t="s">
        <v>29</v>
      </c>
      <c r="F173" t="s">
        <v>54</v>
      </c>
      <c r="G173">
        <v>5449928</v>
      </c>
      <c r="H173">
        <v>4542352</v>
      </c>
      <c r="I173">
        <v>907576</v>
      </c>
      <c r="J173">
        <v>0.83</v>
      </c>
      <c r="K173">
        <v>10.47</v>
      </c>
      <c r="L173">
        <v>7</v>
      </c>
      <c r="M173" t="s">
        <v>31</v>
      </c>
      <c r="N173">
        <v>0</v>
      </c>
      <c r="O173" t="s">
        <v>32</v>
      </c>
      <c r="P173">
        <v>1</v>
      </c>
      <c r="Q173">
        <v>2</v>
      </c>
      <c r="R173" t="s">
        <v>47</v>
      </c>
      <c r="S173" t="s">
        <v>57</v>
      </c>
      <c r="T173">
        <v>17</v>
      </c>
      <c r="U173">
        <v>479023179</v>
      </c>
      <c r="V173" t="s">
        <v>49</v>
      </c>
      <c r="W173" s="1">
        <v>44762</v>
      </c>
      <c r="X173" s="1">
        <v>44768</v>
      </c>
      <c r="Y173" s="5">
        <f>IF(Table1[[#This Row],[NPA_Flag]]=1, Table1[[#This Row],[Outstanding_Amount]], 0)</f>
        <v>0</v>
      </c>
      <c r="Z173" s="1">
        <v>46053</v>
      </c>
    </row>
    <row r="174" spans="1:26" x14ac:dyDescent="0.25">
      <c r="A174" t="s">
        <v>354</v>
      </c>
      <c r="B174" t="s">
        <v>355</v>
      </c>
      <c r="C174" t="s">
        <v>44</v>
      </c>
      <c r="D174" t="s">
        <v>61</v>
      </c>
      <c r="E174" t="s">
        <v>73</v>
      </c>
      <c r="F174" t="s">
        <v>54</v>
      </c>
      <c r="G174">
        <v>7301263</v>
      </c>
      <c r="H174">
        <v>4675839</v>
      </c>
      <c r="I174">
        <v>2625424</v>
      </c>
      <c r="J174">
        <v>0.64</v>
      </c>
      <c r="K174">
        <v>11.27</v>
      </c>
      <c r="L174">
        <v>21</v>
      </c>
      <c r="M174" t="s">
        <v>31</v>
      </c>
      <c r="N174">
        <v>0</v>
      </c>
      <c r="O174" t="s">
        <v>32</v>
      </c>
      <c r="P174">
        <v>0</v>
      </c>
      <c r="Q174">
        <v>4</v>
      </c>
      <c r="R174" t="s">
        <v>41</v>
      </c>
      <c r="S174" t="s">
        <v>48</v>
      </c>
      <c r="T174">
        <v>14</v>
      </c>
      <c r="U174">
        <v>336134453</v>
      </c>
      <c r="V174" t="s">
        <v>49</v>
      </c>
      <c r="W174" s="1">
        <v>45045</v>
      </c>
      <c r="X174" s="1">
        <v>45052</v>
      </c>
      <c r="Y174" s="5">
        <f>IF(Table1[[#This Row],[NPA_Flag]]=1, Table1[[#This Row],[Outstanding_Amount]], 0)</f>
        <v>0</v>
      </c>
      <c r="Z174" s="1">
        <v>46053</v>
      </c>
    </row>
    <row r="175" spans="1:26" x14ac:dyDescent="0.25">
      <c r="A175" t="s">
        <v>356</v>
      </c>
      <c r="B175" t="s">
        <v>313</v>
      </c>
      <c r="C175" t="s">
        <v>78</v>
      </c>
      <c r="D175" t="s">
        <v>28</v>
      </c>
      <c r="E175" t="s">
        <v>102</v>
      </c>
      <c r="F175" t="s">
        <v>30</v>
      </c>
      <c r="G175">
        <v>12645787</v>
      </c>
      <c r="H175">
        <v>9504923</v>
      </c>
      <c r="I175">
        <v>3140864</v>
      </c>
      <c r="J175">
        <v>0.75</v>
      </c>
      <c r="K175">
        <v>10.74</v>
      </c>
      <c r="L175">
        <v>22</v>
      </c>
      <c r="M175" t="s">
        <v>31</v>
      </c>
      <c r="N175">
        <v>0</v>
      </c>
      <c r="O175" t="s">
        <v>32</v>
      </c>
      <c r="P175">
        <v>0</v>
      </c>
      <c r="Q175">
        <v>2</v>
      </c>
      <c r="R175" t="s">
        <v>47</v>
      </c>
      <c r="S175" t="s">
        <v>48</v>
      </c>
      <c r="T175">
        <v>8</v>
      </c>
      <c r="U175">
        <v>319330344</v>
      </c>
      <c r="V175" t="s">
        <v>65</v>
      </c>
      <c r="W175" s="1">
        <v>45150</v>
      </c>
      <c r="X175" s="1">
        <v>45160</v>
      </c>
      <c r="Y175" s="5">
        <f>IF(Table1[[#This Row],[NPA_Flag]]=1, Table1[[#This Row],[Outstanding_Amount]], 0)</f>
        <v>0</v>
      </c>
      <c r="Z175" s="1">
        <v>46053</v>
      </c>
    </row>
    <row r="176" spans="1:26" x14ac:dyDescent="0.25">
      <c r="A176" t="s">
        <v>357</v>
      </c>
      <c r="B176" t="s">
        <v>112</v>
      </c>
      <c r="C176" t="s">
        <v>44</v>
      </c>
      <c r="D176" t="s">
        <v>39</v>
      </c>
      <c r="E176" t="s">
        <v>82</v>
      </c>
      <c r="F176" t="s">
        <v>54</v>
      </c>
      <c r="G176">
        <v>4179538</v>
      </c>
      <c r="H176">
        <v>2754083</v>
      </c>
      <c r="I176">
        <v>1425455</v>
      </c>
      <c r="J176">
        <v>0.66</v>
      </c>
      <c r="K176">
        <v>9.67</v>
      </c>
      <c r="L176">
        <v>0</v>
      </c>
      <c r="M176" t="s">
        <v>31</v>
      </c>
      <c r="N176">
        <v>0</v>
      </c>
      <c r="O176" t="s">
        <v>32</v>
      </c>
      <c r="P176">
        <v>1</v>
      </c>
      <c r="Q176">
        <v>5</v>
      </c>
      <c r="R176" t="s">
        <v>47</v>
      </c>
      <c r="S176" t="s">
        <v>64</v>
      </c>
      <c r="T176">
        <v>23</v>
      </c>
      <c r="U176">
        <v>293812257</v>
      </c>
      <c r="V176" t="s">
        <v>58</v>
      </c>
      <c r="W176" s="1">
        <v>45192</v>
      </c>
      <c r="X176" s="1">
        <v>45196</v>
      </c>
      <c r="Y176" s="5">
        <f>IF(Table1[[#This Row],[NPA_Flag]]=1, Table1[[#This Row],[Outstanding_Amount]], 0)</f>
        <v>0</v>
      </c>
      <c r="Z176" s="1">
        <v>46053</v>
      </c>
    </row>
    <row r="177" spans="1:26" x14ac:dyDescent="0.25">
      <c r="A177" t="s">
        <v>358</v>
      </c>
      <c r="B177" t="s">
        <v>138</v>
      </c>
      <c r="C177" t="s">
        <v>78</v>
      </c>
      <c r="D177" t="s">
        <v>28</v>
      </c>
      <c r="E177" t="s">
        <v>45</v>
      </c>
      <c r="F177" t="s">
        <v>46</v>
      </c>
      <c r="G177">
        <v>11110660</v>
      </c>
      <c r="H177">
        <v>9144799</v>
      </c>
      <c r="I177">
        <v>1965861</v>
      </c>
      <c r="J177">
        <v>0.82</v>
      </c>
      <c r="K177">
        <v>11.82</v>
      </c>
      <c r="L177">
        <v>7</v>
      </c>
      <c r="M177" t="s">
        <v>31</v>
      </c>
      <c r="N177">
        <v>0</v>
      </c>
      <c r="O177" t="s">
        <v>32</v>
      </c>
      <c r="P177">
        <v>0</v>
      </c>
      <c r="Q177">
        <v>5</v>
      </c>
      <c r="R177" t="s">
        <v>33</v>
      </c>
      <c r="S177" t="s">
        <v>64</v>
      </c>
      <c r="T177">
        <v>5</v>
      </c>
      <c r="U177">
        <v>50991017</v>
      </c>
      <c r="V177" t="s">
        <v>49</v>
      </c>
      <c r="W177" s="1">
        <v>43976</v>
      </c>
      <c r="X177" s="1">
        <v>43982</v>
      </c>
      <c r="Y177" s="5">
        <f>IF(Table1[[#This Row],[NPA_Flag]]=1, Table1[[#This Row],[Outstanding_Amount]], 0)</f>
        <v>0</v>
      </c>
      <c r="Z177" s="1">
        <v>46053</v>
      </c>
    </row>
    <row r="178" spans="1:26" x14ac:dyDescent="0.25">
      <c r="A178" t="s">
        <v>359</v>
      </c>
      <c r="B178" t="s">
        <v>360</v>
      </c>
      <c r="C178" t="s">
        <v>38</v>
      </c>
      <c r="D178" t="s">
        <v>61</v>
      </c>
      <c r="E178" t="s">
        <v>82</v>
      </c>
      <c r="F178" t="s">
        <v>54</v>
      </c>
      <c r="G178">
        <v>11388818</v>
      </c>
      <c r="H178">
        <v>9128412</v>
      </c>
      <c r="I178">
        <v>2260406</v>
      </c>
      <c r="J178">
        <v>0.8</v>
      </c>
      <c r="K178">
        <v>14.06</v>
      </c>
      <c r="L178">
        <v>60</v>
      </c>
      <c r="M178" t="s">
        <v>55</v>
      </c>
      <c r="N178">
        <v>0</v>
      </c>
      <c r="O178" t="s">
        <v>56</v>
      </c>
      <c r="P178">
        <v>0</v>
      </c>
      <c r="Q178">
        <v>0</v>
      </c>
      <c r="R178" t="s">
        <v>41</v>
      </c>
      <c r="S178" t="s">
        <v>57</v>
      </c>
      <c r="T178">
        <v>3</v>
      </c>
      <c r="U178">
        <v>338848344</v>
      </c>
      <c r="V178" t="s">
        <v>58</v>
      </c>
      <c r="W178" s="1">
        <v>44045</v>
      </c>
      <c r="X178" s="1">
        <v>44051</v>
      </c>
      <c r="Y178" s="5">
        <f>IF(Table1[[#This Row],[NPA_Flag]]=1, Table1[[#This Row],[Outstanding_Amount]], 0)</f>
        <v>0</v>
      </c>
      <c r="Z178" s="1">
        <v>46053</v>
      </c>
    </row>
    <row r="179" spans="1:26" x14ac:dyDescent="0.25">
      <c r="A179" t="s">
        <v>361</v>
      </c>
      <c r="B179" t="s">
        <v>362</v>
      </c>
      <c r="C179" t="s">
        <v>44</v>
      </c>
      <c r="D179" t="s">
        <v>61</v>
      </c>
      <c r="E179" t="s">
        <v>53</v>
      </c>
      <c r="F179" t="s">
        <v>30</v>
      </c>
      <c r="G179">
        <v>13114067</v>
      </c>
      <c r="H179">
        <v>12257008</v>
      </c>
      <c r="I179">
        <v>857059</v>
      </c>
      <c r="J179">
        <v>0.93</v>
      </c>
      <c r="K179">
        <v>11.68</v>
      </c>
      <c r="L179">
        <v>8</v>
      </c>
      <c r="M179" t="s">
        <v>31</v>
      </c>
      <c r="N179">
        <v>0</v>
      </c>
      <c r="O179" t="s">
        <v>32</v>
      </c>
      <c r="P179">
        <v>0</v>
      </c>
      <c r="Q179">
        <v>0</v>
      </c>
      <c r="R179" t="s">
        <v>33</v>
      </c>
      <c r="S179" t="s">
        <v>64</v>
      </c>
      <c r="T179">
        <v>1</v>
      </c>
      <c r="U179">
        <v>424343626</v>
      </c>
      <c r="V179" t="s">
        <v>58</v>
      </c>
      <c r="W179" s="1">
        <v>44604</v>
      </c>
      <c r="X179" s="1">
        <v>44607</v>
      </c>
      <c r="Y179" s="5">
        <f>IF(Table1[[#This Row],[NPA_Flag]]=1, Table1[[#This Row],[Outstanding_Amount]], 0)</f>
        <v>0</v>
      </c>
      <c r="Z179" s="1">
        <v>46053</v>
      </c>
    </row>
    <row r="180" spans="1:26" x14ac:dyDescent="0.25">
      <c r="A180" t="s">
        <v>363</v>
      </c>
      <c r="B180" t="s">
        <v>360</v>
      </c>
      <c r="C180" t="s">
        <v>38</v>
      </c>
      <c r="D180" t="s">
        <v>52</v>
      </c>
      <c r="E180" t="s">
        <v>97</v>
      </c>
      <c r="F180" t="s">
        <v>30</v>
      </c>
      <c r="G180">
        <v>2138144</v>
      </c>
      <c r="H180">
        <v>1699937</v>
      </c>
      <c r="I180">
        <v>438207</v>
      </c>
      <c r="J180">
        <v>0.8</v>
      </c>
      <c r="K180">
        <v>10.28</v>
      </c>
      <c r="L180">
        <v>28</v>
      </c>
      <c r="M180" t="s">
        <v>31</v>
      </c>
      <c r="N180">
        <v>0</v>
      </c>
      <c r="O180" t="s">
        <v>32</v>
      </c>
      <c r="P180">
        <v>0</v>
      </c>
      <c r="Q180">
        <v>4</v>
      </c>
      <c r="R180" t="s">
        <v>91</v>
      </c>
      <c r="S180" t="s">
        <v>48</v>
      </c>
      <c r="T180">
        <v>9</v>
      </c>
      <c r="U180">
        <v>486018839</v>
      </c>
      <c r="V180" t="s">
        <v>35</v>
      </c>
      <c r="W180" s="1">
        <v>44472</v>
      </c>
      <c r="X180" s="1">
        <v>44478</v>
      </c>
      <c r="Y180" s="5">
        <f>IF(Table1[[#This Row],[NPA_Flag]]=1, Table1[[#This Row],[Outstanding_Amount]], 0)</f>
        <v>0</v>
      </c>
      <c r="Z180" s="1">
        <v>46053</v>
      </c>
    </row>
    <row r="181" spans="1:26" x14ac:dyDescent="0.25">
      <c r="A181" t="s">
        <v>364</v>
      </c>
      <c r="B181" t="s">
        <v>134</v>
      </c>
      <c r="C181" t="s">
        <v>44</v>
      </c>
      <c r="D181" t="s">
        <v>39</v>
      </c>
      <c r="E181" t="s">
        <v>45</v>
      </c>
      <c r="F181" t="s">
        <v>30</v>
      </c>
      <c r="G181">
        <v>11503672</v>
      </c>
      <c r="H181">
        <v>8930344</v>
      </c>
      <c r="I181">
        <v>2573328</v>
      </c>
      <c r="J181">
        <v>0.78</v>
      </c>
      <c r="K181">
        <v>12.88</v>
      </c>
      <c r="L181">
        <v>43</v>
      </c>
      <c r="M181" t="s">
        <v>55</v>
      </c>
      <c r="N181">
        <v>0</v>
      </c>
      <c r="O181" t="s">
        <v>56</v>
      </c>
      <c r="P181">
        <v>1</v>
      </c>
      <c r="Q181">
        <v>3</v>
      </c>
      <c r="R181" t="s">
        <v>91</v>
      </c>
      <c r="S181" t="s">
        <v>34</v>
      </c>
      <c r="T181">
        <v>13</v>
      </c>
      <c r="U181">
        <v>298184539</v>
      </c>
      <c r="V181" t="s">
        <v>49</v>
      </c>
      <c r="W181" s="1">
        <v>44977</v>
      </c>
      <c r="X181" s="1">
        <v>44979</v>
      </c>
      <c r="Y181" s="5">
        <f>IF(Table1[[#This Row],[NPA_Flag]]=1, Table1[[#This Row],[Outstanding_Amount]], 0)</f>
        <v>0</v>
      </c>
      <c r="Z181" s="1">
        <v>46053</v>
      </c>
    </row>
    <row r="182" spans="1:26" x14ac:dyDescent="0.25">
      <c r="A182" t="s">
        <v>365</v>
      </c>
      <c r="B182" t="s">
        <v>366</v>
      </c>
      <c r="C182" t="s">
        <v>27</v>
      </c>
      <c r="D182" t="s">
        <v>39</v>
      </c>
      <c r="E182" t="s">
        <v>45</v>
      </c>
      <c r="F182" t="s">
        <v>46</v>
      </c>
      <c r="G182">
        <v>5524991</v>
      </c>
      <c r="H182">
        <v>4179817</v>
      </c>
      <c r="I182">
        <v>1345174</v>
      </c>
      <c r="J182">
        <v>0.76</v>
      </c>
      <c r="K182">
        <v>13.81</v>
      </c>
      <c r="L182">
        <v>14</v>
      </c>
      <c r="M182" t="s">
        <v>31</v>
      </c>
      <c r="N182">
        <v>0</v>
      </c>
      <c r="O182" t="s">
        <v>32</v>
      </c>
      <c r="P182">
        <v>1</v>
      </c>
      <c r="Q182">
        <v>3</v>
      </c>
      <c r="R182" t="s">
        <v>47</v>
      </c>
      <c r="S182" t="s">
        <v>34</v>
      </c>
      <c r="T182">
        <v>22</v>
      </c>
      <c r="U182">
        <v>309362012</v>
      </c>
      <c r="V182" t="s">
        <v>35</v>
      </c>
      <c r="W182" s="1">
        <v>44975</v>
      </c>
      <c r="X182" s="1">
        <v>44982</v>
      </c>
      <c r="Y182" s="5">
        <f>IF(Table1[[#This Row],[NPA_Flag]]=1, Table1[[#This Row],[Outstanding_Amount]], 0)</f>
        <v>0</v>
      </c>
      <c r="Z182" s="1">
        <v>46053</v>
      </c>
    </row>
    <row r="183" spans="1:26" x14ac:dyDescent="0.25">
      <c r="A183" t="s">
        <v>367</v>
      </c>
      <c r="B183" t="s">
        <v>368</v>
      </c>
      <c r="C183" t="s">
        <v>44</v>
      </c>
      <c r="D183" t="s">
        <v>39</v>
      </c>
      <c r="E183" t="s">
        <v>73</v>
      </c>
      <c r="F183" t="s">
        <v>54</v>
      </c>
      <c r="G183">
        <v>13217262</v>
      </c>
      <c r="H183">
        <v>9517045</v>
      </c>
      <c r="I183">
        <v>3700217</v>
      </c>
      <c r="J183">
        <v>0.72</v>
      </c>
      <c r="K183">
        <v>14.36</v>
      </c>
      <c r="L183">
        <v>18</v>
      </c>
      <c r="M183" t="s">
        <v>31</v>
      </c>
      <c r="N183">
        <v>0</v>
      </c>
      <c r="O183" t="s">
        <v>32</v>
      </c>
      <c r="P183">
        <v>1</v>
      </c>
      <c r="Q183">
        <v>4</v>
      </c>
      <c r="R183" t="s">
        <v>41</v>
      </c>
      <c r="S183" t="s">
        <v>57</v>
      </c>
      <c r="T183">
        <v>22</v>
      </c>
      <c r="U183">
        <v>92028025</v>
      </c>
      <c r="V183" t="s">
        <v>65</v>
      </c>
      <c r="W183" s="1">
        <v>44972</v>
      </c>
      <c r="X183" s="1">
        <v>44977</v>
      </c>
      <c r="Y183" s="5">
        <f>IF(Table1[[#This Row],[NPA_Flag]]=1, Table1[[#This Row],[Outstanding_Amount]], 0)</f>
        <v>0</v>
      </c>
      <c r="Z183" s="1">
        <v>46053</v>
      </c>
    </row>
    <row r="184" spans="1:26" x14ac:dyDescent="0.25">
      <c r="A184" t="s">
        <v>369</v>
      </c>
      <c r="B184" t="s">
        <v>160</v>
      </c>
      <c r="C184" t="s">
        <v>27</v>
      </c>
      <c r="D184" t="s">
        <v>39</v>
      </c>
      <c r="E184" t="s">
        <v>73</v>
      </c>
      <c r="F184" t="s">
        <v>30</v>
      </c>
      <c r="G184">
        <v>4587824</v>
      </c>
      <c r="H184">
        <v>3962824</v>
      </c>
      <c r="I184">
        <v>625000</v>
      </c>
      <c r="J184">
        <v>0.86</v>
      </c>
      <c r="K184">
        <v>11.76</v>
      </c>
      <c r="L184">
        <v>14</v>
      </c>
      <c r="M184" t="s">
        <v>31</v>
      </c>
      <c r="N184">
        <v>0</v>
      </c>
      <c r="O184" t="s">
        <v>32</v>
      </c>
      <c r="P184">
        <v>0</v>
      </c>
      <c r="Q184">
        <v>2</v>
      </c>
      <c r="R184" t="s">
        <v>33</v>
      </c>
      <c r="S184" t="s">
        <v>34</v>
      </c>
      <c r="T184">
        <v>6</v>
      </c>
      <c r="U184">
        <v>61289053</v>
      </c>
      <c r="V184" t="s">
        <v>49</v>
      </c>
      <c r="W184" s="1">
        <v>44466</v>
      </c>
      <c r="X184" s="1">
        <v>44474</v>
      </c>
      <c r="Y184" s="5">
        <f>IF(Table1[[#This Row],[NPA_Flag]]=1, Table1[[#This Row],[Outstanding_Amount]], 0)</f>
        <v>0</v>
      </c>
      <c r="Z184" s="1">
        <v>46053</v>
      </c>
    </row>
    <row r="185" spans="1:26" x14ac:dyDescent="0.25">
      <c r="A185" t="s">
        <v>370</v>
      </c>
      <c r="B185" t="s">
        <v>187</v>
      </c>
      <c r="C185" t="s">
        <v>78</v>
      </c>
      <c r="D185" t="s">
        <v>61</v>
      </c>
      <c r="E185" t="s">
        <v>82</v>
      </c>
      <c r="F185" t="s">
        <v>68</v>
      </c>
      <c r="G185">
        <v>7447577</v>
      </c>
      <c r="H185">
        <v>6631231</v>
      </c>
      <c r="I185">
        <v>816346</v>
      </c>
      <c r="J185">
        <v>0.89</v>
      </c>
      <c r="K185">
        <v>10.220000000000001</v>
      </c>
      <c r="L185">
        <v>30</v>
      </c>
      <c r="M185" t="s">
        <v>31</v>
      </c>
      <c r="N185">
        <v>0</v>
      </c>
      <c r="O185" t="s">
        <v>32</v>
      </c>
      <c r="P185">
        <v>1</v>
      </c>
      <c r="Q185">
        <v>4</v>
      </c>
      <c r="R185" t="s">
        <v>41</v>
      </c>
      <c r="S185" t="s">
        <v>79</v>
      </c>
      <c r="T185">
        <v>9</v>
      </c>
      <c r="U185">
        <v>31997610</v>
      </c>
      <c r="V185" t="s">
        <v>35</v>
      </c>
      <c r="W185" s="1">
        <v>44476</v>
      </c>
      <c r="X185" s="1">
        <v>44484</v>
      </c>
      <c r="Y185" s="5">
        <f>IF(Table1[[#This Row],[NPA_Flag]]=1, Table1[[#This Row],[Outstanding_Amount]], 0)</f>
        <v>0</v>
      </c>
      <c r="Z185" s="1">
        <v>46053</v>
      </c>
    </row>
    <row r="186" spans="1:26" x14ac:dyDescent="0.25">
      <c r="A186" t="s">
        <v>371</v>
      </c>
      <c r="B186" t="s">
        <v>136</v>
      </c>
      <c r="C186" t="s">
        <v>44</v>
      </c>
      <c r="D186" t="s">
        <v>52</v>
      </c>
      <c r="E186" t="s">
        <v>97</v>
      </c>
      <c r="F186" t="s">
        <v>54</v>
      </c>
      <c r="G186">
        <v>10488827</v>
      </c>
      <c r="H186">
        <v>6992952</v>
      </c>
      <c r="I186">
        <v>3495875</v>
      </c>
      <c r="J186">
        <v>0.67</v>
      </c>
      <c r="K186">
        <v>14.31</v>
      </c>
      <c r="L186">
        <v>22</v>
      </c>
      <c r="M186" t="s">
        <v>31</v>
      </c>
      <c r="N186">
        <v>0</v>
      </c>
      <c r="O186" t="s">
        <v>32</v>
      </c>
      <c r="P186">
        <v>0</v>
      </c>
      <c r="Q186">
        <v>4</v>
      </c>
      <c r="R186" t="s">
        <v>41</v>
      </c>
      <c r="S186" t="s">
        <v>34</v>
      </c>
      <c r="T186">
        <v>4</v>
      </c>
      <c r="U186">
        <v>118275731</v>
      </c>
      <c r="V186" t="s">
        <v>35</v>
      </c>
      <c r="W186" s="1">
        <v>44790</v>
      </c>
      <c r="X186" s="1">
        <v>44791</v>
      </c>
      <c r="Y186" s="5">
        <f>IF(Table1[[#This Row],[NPA_Flag]]=1, Table1[[#This Row],[Outstanding_Amount]], 0)</f>
        <v>0</v>
      </c>
      <c r="Z186" s="1">
        <v>46053</v>
      </c>
    </row>
    <row r="187" spans="1:26" x14ac:dyDescent="0.25">
      <c r="A187" t="s">
        <v>372</v>
      </c>
      <c r="B187" t="s">
        <v>215</v>
      </c>
      <c r="C187" t="s">
        <v>44</v>
      </c>
      <c r="D187" t="s">
        <v>52</v>
      </c>
      <c r="E187" t="s">
        <v>40</v>
      </c>
      <c r="F187" t="s">
        <v>68</v>
      </c>
      <c r="G187">
        <v>2305689</v>
      </c>
      <c r="H187">
        <v>1734029</v>
      </c>
      <c r="I187">
        <v>571660</v>
      </c>
      <c r="J187">
        <v>0.75</v>
      </c>
      <c r="K187">
        <v>12.76</v>
      </c>
      <c r="L187">
        <v>13</v>
      </c>
      <c r="M187" t="s">
        <v>31</v>
      </c>
      <c r="N187">
        <v>0</v>
      </c>
      <c r="O187" t="s">
        <v>32</v>
      </c>
      <c r="P187">
        <v>1</v>
      </c>
      <c r="Q187">
        <v>2</v>
      </c>
      <c r="R187" t="s">
        <v>91</v>
      </c>
      <c r="S187" t="s">
        <v>57</v>
      </c>
      <c r="T187">
        <v>5</v>
      </c>
      <c r="U187">
        <v>74833487</v>
      </c>
      <c r="V187" t="s">
        <v>65</v>
      </c>
      <c r="W187" s="1">
        <v>44204</v>
      </c>
      <c r="X187" s="1">
        <v>44211</v>
      </c>
      <c r="Y187" s="5">
        <f>IF(Table1[[#This Row],[NPA_Flag]]=1, Table1[[#This Row],[Outstanding_Amount]], 0)</f>
        <v>0</v>
      </c>
      <c r="Z187" s="1">
        <v>46053</v>
      </c>
    </row>
    <row r="188" spans="1:26" x14ac:dyDescent="0.25">
      <c r="A188" t="s">
        <v>373</v>
      </c>
      <c r="B188" t="s">
        <v>110</v>
      </c>
      <c r="C188" t="s">
        <v>44</v>
      </c>
      <c r="D188" t="s">
        <v>39</v>
      </c>
      <c r="E188" t="s">
        <v>29</v>
      </c>
      <c r="F188" t="s">
        <v>54</v>
      </c>
      <c r="G188">
        <v>10672816</v>
      </c>
      <c r="H188">
        <v>9664989</v>
      </c>
      <c r="I188">
        <v>1007827</v>
      </c>
      <c r="J188">
        <v>0.91</v>
      </c>
      <c r="K188">
        <v>10.97</v>
      </c>
      <c r="L188">
        <v>2</v>
      </c>
      <c r="M188" t="s">
        <v>31</v>
      </c>
      <c r="N188">
        <v>0</v>
      </c>
      <c r="O188" t="s">
        <v>32</v>
      </c>
      <c r="P188">
        <v>0</v>
      </c>
      <c r="Q188">
        <v>4</v>
      </c>
      <c r="R188" t="s">
        <v>33</v>
      </c>
      <c r="S188" t="s">
        <v>79</v>
      </c>
      <c r="T188">
        <v>23</v>
      </c>
      <c r="U188">
        <v>119792088</v>
      </c>
      <c r="V188" t="s">
        <v>49</v>
      </c>
      <c r="W188" s="1">
        <v>44812</v>
      </c>
      <c r="X188" s="1">
        <v>44817</v>
      </c>
      <c r="Y188" s="5">
        <f>IF(Table1[[#This Row],[NPA_Flag]]=1, Table1[[#This Row],[Outstanding_Amount]], 0)</f>
        <v>0</v>
      </c>
      <c r="Z188" s="1">
        <v>46053</v>
      </c>
    </row>
    <row r="189" spans="1:26" x14ac:dyDescent="0.25">
      <c r="A189" t="s">
        <v>374</v>
      </c>
      <c r="B189" t="s">
        <v>134</v>
      </c>
      <c r="C189" t="s">
        <v>27</v>
      </c>
      <c r="D189" t="s">
        <v>28</v>
      </c>
      <c r="E189" t="s">
        <v>94</v>
      </c>
      <c r="F189" t="s">
        <v>54</v>
      </c>
      <c r="G189">
        <v>5101392</v>
      </c>
      <c r="H189">
        <v>3926718</v>
      </c>
      <c r="I189">
        <v>1174674</v>
      </c>
      <c r="J189">
        <v>0.77</v>
      </c>
      <c r="K189">
        <v>12.21</v>
      </c>
      <c r="L189">
        <v>18</v>
      </c>
      <c r="M189" t="s">
        <v>31</v>
      </c>
      <c r="N189">
        <v>0</v>
      </c>
      <c r="O189" t="s">
        <v>32</v>
      </c>
      <c r="P189">
        <v>0</v>
      </c>
      <c r="Q189">
        <v>4</v>
      </c>
      <c r="R189" t="s">
        <v>91</v>
      </c>
      <c r="S189" t="s">
        <v>34</v>
      </c>
      <c r="T189">
        <v>8</v>
      </c>
      <c r="U189">
        <v>452361827</v>
      </c>
      <c r="V189" t="s">
        <v>58</v>
      </c>
      <c r="W189" s="1">
        <v>45326</v>
      </c>
      <c r="X189" s="1">
        <v>45330</v>
      </c>
      <c r="Y189" s="5">
        <f>IF(Table1[[#This Row],[NPA_Flag]]=1, Table1[[#This Row],[Outstanding_Amount]], 0)</f>
        <v>0</v>
      </c>
      <c r="Z189" s="1">
        <v>46053</v>
      </c>
    </row>
    <row r="190" spans="1:26" x14ac:dyDescent="0.25">
      <c r="A190" t="s">
        <v>375</v>
      </c>
      <c r="B190" t="s">
        <v>248</v>
      </c>
      <c r="C190" t="s">
        <v>27</v>
      </c>
      <c r="D190" t="s">
        <v>39</v>
      </c>
      <c r="E190" t="s">
        <v>102</v>
      </c>
      <c r="F190" t="s">
        <v>54</v>
      </c>
      <c r="G190">
        <v>12857056</v>
      </c>
      <c r="H190">
        <v>10230121</v>
      </c>
      <c r="I190">
        <v>2626935</v>
      </c>
      <c r="J190">
        <v>0.8</v>
      </c>
      <c r="K190">
        <v>9.2200000000000006</v>
      </c>
      <c r="L190">
        <v>16</v>
      </c>
      <c r="M190" t="s">
        <v>31</v>
      </c>
      <c r="N190">
        <v>0</v>
      </c>
      <c r="O190" t="s">
        <v>32</v>
      </c>
      <c r="P190">
        <v>1</v>
      </c>
      <c r="Q190">
        <v>1</v>
      </c>
      <c r="R190" t="s">
        <v>47</v>
      </c>
      <c r="S190" t="s">
        <v>57</v>
      </c>
      <c r="T190">
        <v>7</v>
      </c>
      <c r="U190">
        <v>162952960</v>
      </c>
      <c r="V190" t="s">
        <v>49</v>
      </c>
      <c r="W190" s="1">
        <v>45176</v>
      </c>
      <c r="X190" s="1">
        <v>45186</v>
      </c>
      <c r="Y190" s="5">
        <f>IF(Table1[[#This Row],[NPA_Flag]]=1, Table1[[#This Row],[Outstanding_Amount]], 0)</f>
        <v>0</v>
      </c>
      <c r="Z190" s="1">
        <v>46053</v>
      </c>
    </row>
    <row r="191" spans="1:26" x14ac:dyDescent="0.25">
      <c r="A191" t="s">
        <v>376</v>
      </c>
      <c r="B191" t="s">
        <v>377</v>
      </c>
      <c r="C191" t="s">
        <v>44</v>
      </c>
      <c r="D191" t="s">
        <v>52</v>
      </c>
      <c r="E191" t="s">
        <v>85</v>
      </c>
      <c r="F191" t="s">
        <v>68</v>
      </c>
      <c r="G191">
        <v>6287973</v>
      </c>
      <c r="H191">
        <v>4540620</v>
      </c>
      <c r="I191">
        <v>1747353</v>
      </c>
      <c r="J191">
        <v>0.72</v>
      </c>
      <c r="K191">
        <v>9.56</v>
      </c>
      <c r="L191">
        <v>16</v>
      </c>
      <c r="M191" t="s">
        <v>31</v>
      </c>
      <c r="N191">
        <v>0</v>
      </c>
      <c r="O191" t="s">
        <v>32</v>
      </c>
      <c r="P191">
        <v>1</v>
      </c>
      <c r="Q191">
        <v>0</v>
      </c>
      <c r="R191" t="s">
        <v>47</v>
      </c>
      <c r="S191" t="s">
        <v>48</v>
      </c>
      <c r="T191">
        <v>10</v>
      </c>
      <c r="U191">
        <v>174501269</v>
      </c>
      <c r="V191" t="s">
        <v>35</v>
      </c>
      <c r="W191" s="1">
        <v>44860</v>
      </c>
      <c r="X191" s="1">
        <v>44863</v>
      </c>
      <c r="Y191" s="5">
        <f>IF(Table1[[#This Row],[NPA_Flag]]=1, Table1[[#This Row],[Outstanding_Amount]], 0)</f>
        <v>0</v>
      </c>
      <c r="Z191" s="1">
        <v>46053</v>
      </c>
    </row>
    <row r="192" spans="1:26" x14ac:dyDescent="0.25">
      <c r="A192" t="s">
        <v>378</v>
      </c>
      <c r="B192" t="s">
        <v>309</v>
      </c>
      <c r="C192" t="s">
        <v>78</v>
      </c>
      <c r="D192" t="s">
        <v>39</v>
      </c>
      <c r="E192" t="s">
        <v>82</v>
      </c>
      <c r="F192" t="s">
        <v>54</v>
      </c>
      <c r="G192">
        <v>10313244</v>
      </c>
      <c r="H192">
        <v>8538208</v>
      </c>
      <c r="I192">
        <v>1775036</v>
      </c>
      <c r="J192">
        <v>0.83</v>
      </c>
      <c r="K192">
        <v>9.08</v>
      </c>
      <c r="L192">
        <v>20</v>
      </c>
      <c r="M192" t="s">
        <v>31</v>
      </c>
      <c r="N192">
        <v>0</v>
      </c>
      <c r="O192" t="s">
        <v>32</v>
      </c>
      <c r="P192">
        <v>0</v>
      </c>
      <c r="Q192">
        <v>2</v>
      </c>
      <c r="R192" t="s">
        <v>33</v>
      </c>
      <c r="S192" t="s">
        <v>57</v>
      </c>
      <c r="T192">
        <v>11</v>
      </c>
      <c r="U192">
        <v>354694126</v>
      </c>
      <c r="V192" t="s">
        <v>35</v>
      </c>
      <c r="W192" s="1">
        <v>45051</v>
      </c>
      <c r="X192" s="1">
        <v>45052</v>
      </c>
      <c r="Y192" s="5">
        <f>IF(Table1[[#This Row],[NPA_Flag]]=1, Table1[[#This Row],[Outstanding_Amount]], 0)</f>
        <v>0</v>
      </c>
      <c r="Z192" s="1">
        <v>46053</v>
      </c>
    </row>
    <row r="193" spans="1:26" x14ac:dyDescent="0.25">
      <c r="A193" t="s">
        <v>379</v>
      </c>
      <c r="B193" t="s">
        <v>160</v>
      </c>
      <c r="C193" t="s">
        <v>38</v>
      </c>
      <c r="D193" t="s">
        <v>39</v>
      </c>
      <c r="E193" t="s">
        <v>45</v>
      </c>
      <c r="F193" t="s">
        <v>46</v>
      </c>
      <c r="G193">
        <v>8086814</v>
      </c>
      <c r="H193">
        <v>6838599</v>
      </c>
      <c r="I193">
        <v>1248215</v>
      </c>
      <c r="J193">
        <v>0.85</v>
      </c>
      <c r="K193">
        <v>14.22</v>
      </c>
      <c r="L193">
        <v>61</v>
      </c>
      <c r="M193" t="s">
        <v>90</v>
      </c>
      <c r="N193">
        <v>0</v>
      </c>
      <c r="O193" t="s">
        <v>70</v>
      </c>
      <c r="P193">
        <v>1</v>
      </c>
      <c r="Q193">
        <v>5</v>
      </c>
      <c r="R193" t="s">
        <v>33</v>
      </c>
      <c r="S193" t="s">
        <v>57</v>
      </c>
      <c r="T193">
        <v>16</v>
      </c>
      <c r="U193">
        <v>390779819</v>
      </c>
      <c r="V193" t="s">
        <v>65</v>
      </c>
      <c r="W193" s="1">
        <v>44634</v>
      </c>
      <c r="X193" s="1">
        <v>44635</v>
      </c>
      <c r="Y193" s="5">
        <f>IF(Table1[[#This Row],[NPA_Flag]]=1, Table1[[#This Row],[Outstanding_Amount]], 0)</f>
        <v>0</v>
      </c>
      <c r="Z193" s="1">
        <v>46053</v>
      </c>
    </row>
    <row r="194" spans="1:26" x14ac:dyDescent="0.25">
      <c r="A194" t="s">
        <v>380</v>
      </c>
      <c r="B194" t="s">
        <v>101</v>
      </c>
      <c r="C194" t="s">
        <v>78</v>
      </c>
      <c r="D194" t="s">
        <v>52</v>
      </c>
      <c r="E194" t="s">
        <v>94</v>
      </c>
      <c r="F194" t="s">
        <v>46</v>
      </c>
      <c r="G194">
        <v>14414334</v>
      </c>
      <c r="H194">
        <v>12656250</v>
      </c>
      <c r="I194">
        <v>1758084</v>
      </c>
      <c r="J194">
        <v>0.88</v>
      </c>
      <c r="K194">
        <v>10.039999999999999</v>
      </c>
      <c r="L194">
        <v>27</v>
      </c>
      <c r="M194" t="s">
        <v>31</v>
      </c>
      <c r="N194">
        <v>0</v>
      </c>
      <c r="O194" t="s">
        <v>32</v>
      </c>
      <c r="P194">
        <v>1</v>
      </c>
      <c r="Q194">
        <v>0</v>
      </c>
      <c r="R194" t="s">
        <v>33</v>
      </c>
      <c r="S194" t="s">
        <v>34</v>
      </c>
      <c r="T194">
        <v>6</v>
      </c>
      <c r="U194">
        <v>251453533</v>
      </c>
      <c r="V194" t="s">
        <v>65</v>
      </c>
      <c r="W194" s="1">
        <v>44876</v>
      </c>
      <c r="X194" s="1">
        <v>44877</v>
      </c>
      <c r="Y194" s="5">
        <f>IF(Table1[[#This Row],[NPA_Flag]]=1, Table1[[#This Row],[Outstanding_Amount]], 0)</f>
        <v>0</v>
      </c>
      <c r="Z194" s="1">
        <v>46053</v>
      </c>
    </row>
    <row r="195" spans="1:26" x14ac:dyDescent="0.25">
      <c r="A195" t="s">
        <v>381</v>
      </c>
      <c r="B195" t="s">
        <v>328</v>
      </c>
      <c r="C195" t="s">
        <v>44</v>
      </c>
      <c r="D195" t="s">
        <v>28</v>
      </c>
      <c r="E195" t="s">
        <v>94</v>
      </c>
      <c r="F195" t="s">
        <v>46</v>
      </c>
      <c r="G195">
        <v>4710909</v>
      </c>
      <c r="H195">
        <v>3911910</v>
      </c>
      <c r="I195">
        <v>798999</v>
      </c>
      <c r="J195">
        <v>0.83</v>
      </c>
      <c r="K195">
        <v>12.65</v>
      </c>
      <c r="L195">
        <v>54</v>
      </c>
      <c r="M195" t="s">
        <v>55</v>
      </c>
      <c r="N195">
        <v>0</v>
      </c>
      <c r="O195" t="s">
        <v>56</v>
      </c>
      <c r="P195">
        <v>0</v>
      </c>
      <c r="Q195">
        <v>3</v>
      </c>
      <c r="R195" t="s">
        <v>41</v>
      </c>
      <c r="S195" t="s">
        <v>34</v>
      </c>
      <c r="T195">
        <v>10</v>
      </c>
      <c r="U195">
        <v>338950223</v>
      </c>
      <c r="V195" t="s">
        <v>65</v>
      </c>
      <c r="W195" s="1">
        <v>44400</v>
      </c>
      <c r="X195" s="1">
        <v>44401</v>
      </c>
      <c r="Y195" s="5">
        <f>IF(Table1[[#This Row],[NPA_Flag]]=1, Table1[[#This Row],[Outstanding_Amount]], 0)</f>
        <v>0</v>
      </c>
      <c r="Z195" s="1">
        <v>46053</v>
      </c>
    </row>
    <row r="196" spans="1:26" x14ac:dyDescent="0.25">
      <c r="A196" t="s">
        <v>382</v>
      </c>
      <c r="B196" t="s">
        <v>383</v>
      </c>
      <c r="C196" t="s">
        <v>44</v>
      </c>
      <c r="D196" t="s">
        <v>28</v>
      </c>
      <c r="E196" t="s">
        <v>29</v>
      </c>
      <c r="F196" t="s">
        <v>68</v>
      </c>
      <c r="G196">
        <v>2211720</v>
      </c>
      <c r="H196">
        <v>1547020</v>
      </c>
      <c r="I196">
        <v>664700</v>
      </c>
      <c r="J196">
        <v>0.7</v>
      </c>
      <c r="K196">
        <v>11.06</v>
      </c>
      <c r="L196">
        <v>6</v>
      </c>
      <c r="M196" t="s">
        <v>31</v>
      </c>
      <c r="N196">
        <v>0</v>
      </c>
      <c r="O196" t="s">
        <v>32</v>
      </c>
      <c r="P196">
        <v>1</v>
      </c>
      <c r="Q196">
        <v>2</v>
      </c>
      <c r="R196" t="s">
        <v>91</v>
      </c>
      <c r="S196" t="s">
        <v>48</v>
      </c>
      <c r="T196">
        <v>23</v>
      </c>
      <c r="U196">
        <v>231332025</v>
      </c>
      <c r="V196" t="s">
        <v>65</v>
      </c>
      <c r="W196" s="1">
        <v>44861</v>
      </c>
      <c r="X196" s="1">
        <v>44863</v>
      </c>
      <c r="Y196" s="5">
        <f>IF(Table1[[#This Row],[NPA_Flag]]=1, Table1[[#This Row],[Outstanding_Amount]], 0)</f>
        <v>0</v>
      </c>
      <c r="Z196" s="1">
        <v>46053</v>
      </c>
    </row>
    <row r="197" spans="1:26" x14ac:dyDescent="0.25">
      <c r="A197" t="s">
        <v>384</v>
      </c>
      <c r="B197" t="s">
        <v>385</v>
      </c>
      <c r="C197" t="s">
        <v>27</v>
      </c>
      <c r="D197" t="s">
        <v>28</v>
      </c>
      <c r="E197" t="s">
        <v>102</v>
      </c>
      <c r="F197" t="s">
        <v>46</v>
      </c>
      <c r="G197">
        <v>6190524</v>
      </c>
      <c r="H197">
        <v>5743885</v>
      </c>
      <c r="I197">
        <v>446639</v>
      </c>
      <c r="J197">
        <v>0.93</v>
      </c>
      <c r="K197">
        <v>12.79</v>
      </c>
      <c r="L197">
        <v>19</v>
      </c>
      <c r="M197" t="s">
        <v>31</v>
      </c>
      <c r="N197">
        <v>0</v>
      </c>
      <c r="O197" t="s">
        <v>32</v>
      </c>
      <c r="P197">
        <v>0</v>
      </c>
      <c r="Q197">
        <v>1</v>
      </c>
      <c r="R197" t="s">
        <v>47</v>
      </c>
      <c r="S197" t="s">
        <v>57</v>
      </c>
      <c r="T197">
        <v>25</v>
      </c>
      <c r="U197">
        <v>65684540</v>
      </c>
      <c r="V197" t="s">
        <v>49</v>
      </c>
      <c r="W197" s="1">
        <v>44818</v>
      </c>
      <c r="X197" s="1">
        <v>44820</v>
      </c>
      <c r="Y197" s="5">
        <f>IF(Table1[[#This Row],[NPA_Flag]]=1, Table1[[#This Row],[Outstanding_Amount]], 0)</f>
        <v>0</v>
      </c>
      <c r="Z197" s="1">
        <v>46053</v>
      </c>
    </row>
    <row r="198" spans="1:26" x14ac:dyDescent="0.25">
      <c r="A198" t="s">
        <v>386</v>
      </c>
      <c r="B198" t="s">
        <v>213</v>
      </c>
      <c r="C198" t="s">
        <v>44</v>
      </c>
      <c r="D198" t="s">
        <v>52</v>
      </c>
      <c r="E198" t="s">
        <v>53</v>
      </c>
      <c r="F198" t="s">
        <v>46</v>
      </c>
      <c r="G198">
        <v>6391303</v>
      </c>
      <c r="H198">
        <v>5598068</v>
      </c>
      <c r="I198">
        <v>793235</v>
      </c>
      <c r="J198">
        <v>0.88</v>
      </c>
      <c r="K198">
        <v>11.89</v>
      </c>
      <c r="L198">
        <v>12</v>
      </c>
      <c r="M198" t="s">
        <v>31</v>
      </c>
      <c r="N198">
        <v>0</v>
      </c>
      <c r="O198" t="s">
        <v>32</v>
      </c>
      <c r="P198">
        <v>1</v>
      </c>
      <c r="Q198">
        <v>5</v>
      </c>
      <c r="R198" t="s">
        <v>91</v>
      </c>
      <c r="S198" t="s">
        <v>57</v>
      </c>
      <c r="T198">
        <v>12</v>
      </c>
      <c r="U198">
        <v>398543927</v>
      </c>
      <c r="V198" t="s">
        <v>35</v>
      </c>
      <c r="W198" s="1">
        <v>43959</v>
      </c>
      <c r="X198" s="1">
        <v>43960</v>
      </c>
      <c r="Y198" s="5">
        <f>IF(Table1[[#This Row],[NPA_Flag]]=1, Table1[[#This Row],[Outstanding_Amount]], 0)</f>
        <v>0</v>
      </c>
      <c r="Z198" s="1">
        <v>46053</v>
      </c>
    </row>
    <row r="199" spans="1:26" x14ac:dyDescent="0.25">
      <c r="A199" t="s">
        <v>387</v>
      </c>
      <c r="B199" t="s">
        <v>264</v>
      </c>
      <c r="C199" t="s">
        <v>78</v>
      </c>
      <c r="D199" t="s">
        <v>39</v>
      </c>
      <c r="E199" t="s">
        <v>82</v>
      </c>
      <c r="F199" t="s">
        <v>54</v>
      </c>
      <c r="G199">
        <v>3209537</v>
      </c>
      <c r="H199">
        <v>2987356</v>
      </c>
      <c r="I199">
        <v>222181</v>
      </c>
      <c r="J199">
        <v>0.93</v>
      </c>
      <c r="K199">
        <v>10.37</v>
      </c>
      <c r="L199">
        <v>50</v>
      </c>
      <c r="M199" t="s">
        <v>55</v>
      </c>
      <c r="N199">
        <v>0</v>
      </c>
      <c r="O199" t="s">
        <v>56</v>
      </c>
      <c r="P199">
        <v>1</v>
      </c>
      <c r="Q199">
        <v>0</v>
      </c>
      <c r="R199" t="s">
        <v>91</v>
      </c>
      <c r="S199" t="s">
        <v>64</v>
      </c>
      <c r="T199">
        <v>19</v>
      </c>
      <c r="U199">
        <v>118700318</v>
      </c>
      <c r="V199" t="s">
        <v>58</v>
      </c>
      <c r="W199" s="1">
        <v>44982</v>
      </c>
      <c r="X199" s="1">
        <v>44983</v>
      </c>
      <c r="Y199" s="5">
        <f>IF(Table1[[#This Row],[NPA_Flag]]=1, Table1[[#This Row],[Outstanding_Amount]], 0)</f>
        <v>0</v>
      </c>
      <c r="Z199" s="1">
        <v>46053</v>
      </c>
    </row>
    <row r="200" spans="1:26" x14ac:dyDescent="0.25">
      <c r="A200" t="s">
        <v>388</v>
      </c>
      <c r="B200" t="s">
        <v>160</v>
      </c>
      <c r="C200" t="s">
        <v>78</v>
      </c>
      <c r="D200" t="s">
        <v>61</v>
      </c>
      <c r="E200" t="s">
        <v>40</v>
      </c>
      <c r="F200" t="s">
        <v>30</v>
      </c>
      <c r="G200">
        <v>3749249</v>
      </c>
      <c r="H200">
        <v>3547733</v>
      </c>
      <c r="I200">
        <v>201516</v>
      </c>
      <c r="J200">
        <v>0.95</v>
      </c>
      <c r="K200">
        <v>11.63</v>
      </c>
      <c r="L200">
        <v>12</v>
      </c>
      <c r="M200" t="s">
        <v>31</v>
      </c>
      <c r="N200">
        <v>0</v>
      </c>
      <c r="O200" t="s">
        <v>32</v>
      </c>
      <c r="P200">
        <v>1</v>
      </c>
      <c r="Q200">
        <v>1</v>
      </c>
      <c r="R200" t="s">
        <v>91</v>
      </c>
      <c r="S200" t="s">
        <v>48</v>
      </c>
      <c r="T200">
        <v>21</v>
      </c>
      <c r="U200">
        <v>148974176</v>
      </c>
      <c r="V200" t="s">
        <v>35</v>
      </c>
      <c r="W200" s="1">
        <v>44122</v>
      </c>
      <c r="X200" s="1">
        <v>44125</v>
      </c>
      <c r="Y200" s="5">
        <f>IF(Table1[[#This Row],[NPA_Flag]]=1, Table1[[#This Row],[Outstanding_Amount]], 0)</f>
        <v>0</v>
      </c>
      <c r="Z200" s="1">
        <v>46053</v>
      </c>
    </row>
    <row r="201" spans="1:26" x14ac:dyDescent="0.25">
      <c r="A201" t="s">
        <v>389</v>
      </c>
      <c r="B201" t="s">
        <v>202</v>
      </c>
      <c r="C201" t="s">
        <v>38</v>
      </c>
      <c r="D201" t="s">
        <v>28</v>
      </c>
      <c r="E201" t="s">
        <v>102</v>
      </c>
      <c r="F201" t="s">
        <v>30</v>
      </c>
      <c r="G201">
        <v>13311826</v>
      </c>
      <c r="H201">
        <v>9357879</v>
      </c>
      <c r="I201">
        <v>3953947</v>
      </c>
      <c r="J201">
        <v>0.7</v>
      </c>
      <c r="K201">
        <v>10.99</v>
      </c>
      <c r="L201">
        <v>33</v>
      </c>
      <c r="M201" t="s">
        <v>55</v>
      </c>
      <c r="N201">
        <v>0</v>
      </c>
      <c r="O201" t="s">
        <v>56</v>
      </c>
      <c r="P201">
        <v>1</v>
      </c>
      <c r="Q201">
        <v>4</v>
      </c>
      <c r="R201" t="s">
        <v>91</v>
      </c>
      <c r="S201" t="s">
        <v>64</v>
      </c>
      <c r="T201">
        <v>8</v>
      </c>
      <c r="U201">
        <v>361423233</v>
      </c>
      <c r="V201" t="s">
        <v>49</v>
      </c>
      <c r="W201" s="1">
        <v>43841</v>
      </c>
      <c r="X201" s="1">
        <v>43847</v>
      </c>
      <c r="Y201" s="5">
        <f>IF(Table1[[#This Row],[NPA_Flag]]=1, Table1[[#This Row],[Outstanding_Amount]], 0)</f>
        <v>0</v>
      </c>
      <c r="Z201" s="1">
        <v>46053</v>
      </c>
    </row>
    <row r="202" spans="1:26" x14ac:dyDescent="0.25">
      <c r="A202" t="s">
        <v>390</v>
      </c>
      <c r="B202" t="s">
        <v>350</v>
      </c>
      <c r="C202" t="s">
        <v>44</v>
      </c>
      <c r="D202" t="s">
        <v>52</v>
      </c>
      <c r="E202" t="s">
        <v>40</v>
      </c>
      <c r="F202" t="s">
        <v>46</v>
      </c>
      <c r="G202">
        <v>9188484</v>
      </c>
      <c r="H202">
        <v>6271015</v>
      </c>
      <c r="I202">
        <v>2917469</v>
      </c>
      <c r="J202">
        <v>0.68</v>
      </c>
      <c r="K202">
        <v>11.28</v>
      </c>
      <c r="L202">
        <v>27</v>
      </c>
      <c r="M202" t="s">
        <v>31</v>
      </c>
      <c r="N202">
        <v>0</v>
      </c>
      <c r="O202" t="s">
        <v>32</v>
      </c>
      <c r="P202">
        <v>1</v>
      </c>
      <c r="Q202">
        <v>3</v>
      </c>
      <c r="R202" t="s">
        <v>47</v>
      </c>
      <c r="S202" t="s">
        <v>57</v>
      </c>
      <c r="T202">
        <v>18</v>
      </c>
      <c r="U202">
        <v>202528000</v>
      </c>
      <c r="V202" t="s">
        <v>65</v>
      </c>
      <c r="W202" s="1">
        <v>44110</v>
      </c>
      <c r="X202" s="1">
        <v>44116</v>
      </c>
      <c r="Y202" s="5">
        <f>IF(Table1[[#This Row],[NPA_Flag]]=1, Table1[[#This Row],[Outstanding_Amount]], 0)</f>
        <v>0</v>
      </c>
      <c r="Z202" s="1">
        <v>46053</v>
      </c>
    </row>
    <row r="203" spans="1:26" x14ac:dyDescent="0.25">
      <c r="A203" t="s">
        <v>391</v>
      </c>
      <c r="B203" t="s">
        <v>392</v>
      </c>
      <c r="C203" t="s">
        <v>44</v>
      </c>
      <c r="D203" t="s">
        <v>52</v>
      </c>
      <c r="E203" t="s">
        <v>102</v>
      </c>
      <c r="F203" t="s">
        <v>68</v>
      </c>
      <c r="G203">
        <v>9063881</v>
      </c>
      <c r="H203">
        <v>5534595</v>
      </c>
      <c r="I203">
        <v>3529286</v>
      </c>
      <c r="J203">
        <v>0.61</v>
      </c>
      <c r="K203">
        <v>9.66</v>
      </c>
      <c r="L203">
        <v>6</v>
      </c>
      <c r="M203" t="s">
        <v>31</v>
      </c>
      <c r="N203">
        <v>0</v>
      </c>
      <c r="O203" t="s">
        <v>32</v>
      </c>
      <c r="P203">
        <v>0</v>
      </c>
      <c r="Q203">
        <v>2</v>
      </c>
      <c r="R203" t="s">
        <v>91</v>
      </c>
      <c r="S203" t="s">
        <v>48</v>
      </c>
      <c r="T203">
        <v>7</v>
      </c>
      <c r="U203">
        <v>29440551</v>
      </c>
      <c r="V203" t="s">
        <v>49</v>
      </c>
      <c r="W203" s="1">
        <v>43859</v>
      </c>
      <c r="X203" s="1">
        <v>43867</v>
      </c>
      <c r="Y203" s="5">
        <f>IF(Table1[[#This Row],[NPA_Flag]]=1, Table1[[#This Row],[Outstanding_Amount]], 0)</f>
        <v>0</v>
      </c>
      <c r="Z203" s="1">
        <v>46053</v>
      </c>
    </row>
    <row r="204" spans="1:26" x14ac:dyDescent="0.25">
      <c r="A204" t="s">
        <v>393</v>
      </c>
      <c r="B204" t="s">
        <v>202</v>
      </c>
      <c r="C204" t="s">
        <v>78</v>
      </c>
      <c r="D204" t="s">
        <v>39</v>
      </c>
      <c r="E204" t="s">
        <v>97</v>
      </c>
      <c r="F204" t="s">
        <v>54</v>
      </c>
      <c r="G204">
        <v>11926392</v>
      </c>
      <c r="H204">
        <v>9343489</v>
      </c>
      <c r="I204">
        <v>2582903</v>
      </c>
      <c r="J204">
        <v>0.78</v>
      </c>
      <c r="K204">
        <v>14.15</v>
      </c>
      <c r="L204">
        <v>15</v>
      </c>
      <c r="M204" t="s">
        <v>31</v>
      </c>
      <c r="N204">
        <v>0</v>
      </c>
      <c r="O204" t="s">
        <v>32</v>
      </c>
      <c r="P204">
        <v>0</v>
      </c>
      <c r="Q204">
        <v>0</v>
      </c>
      <c r="R204" t="s">
        <v>47</v>
      </c>
      <c r="S204" t="s">
        <v>34</v>
      </c>
      <c r="T204">
        <v>9</v>
      </c>
      <c r="U204">
        <v>251301345</v>
      </c>
      <c r="V204" t="s">
        <v>49</v>
      </c>
      <c r="W204" s="1">
        <v>44483</v>
      </c>
      <c r="X204" s="1">
        <v>44484</v>
      </c>
      <c r="Y204" s="5">
        <f>IF(Table1[[#This Row],[NPA_Flag]]=1, Table1[[#This Row],[Outstanding_Amount]], 0)</f>
        <v>0</v>
      </c>
      <c r="Z204" s="1">
        <v>46053</v>
      </c>
    </row>
    <row r="205" spans="1:26" x14ac:dyDescent="0.25">
      <c r="A205" t="s">
        <v>394</v>
      </c>
      <c r="B205" t="s">
        <v>184</v>
      </c>
      <c r="C205" t="s">
        <v>38</v>
      </c>
      <c r="D205" t="s">
        <v>39</v>
      </c>
      <c r="E205" t="s">
        <v>53</v>
      </c>
      <c r="F205" t="s">
        <v>54</v>
      </c>
      <c r="G205">
        <v>4338293</v>
      </c>
      <c r="H205">
        <v>4084359</v>
      </c>
      <c r="I205">
        <v>253934</v>
      </c>
      <c r="J205">
        <v>0.94</v>
      </c>
      <c r="K205">
        <v>14.46</v>
      </c>
      <c r="L205">
        <v>27</v>
      </c>
      <c r="M205" t="s">
        <v>31</v>
      </c>
      <c r="N205">
        <v>0</v>
      </c>
      <c r="O205" t="s">
        <v>32</v>
      </c>
      <c r="P205">
        <v>1</v>
      </c>
      <c r="Q205">
        <v>4</v>
      </c>
      <c r="R205" t="s">
        <v>47</v>
      </c>
      <c r="S205" t="s">
        <v>48</v>
      </c>
      <c r="T205">
        <v>20</v>
      </c>
      <c r="U205">
        <v>94110556</v>
      </c>
      <c r="V205" t="s">
        <v>35</v>
      </c>
      <c r="W205" s="1">
        <v>43966</v>
      </c>
      <c r="X205" s="1">
        <v>43974</v>
      </c>
      <c r="Y205" s="5">
        <f>IF(Table1[[#This Row],[NPA_Flag]]=1, Table1[[#This Row],[Outstanding_Amount]], 0)</f>
        <v>0</v>
      </c>
      <c r="Z205" s="1">
        <v>46053</v>
      </c>
    </row>
    <row r="206" spans="1:26" x14ac:dyDescent="0.25">
      <c r="A206" t="s">
        <v>395</v>
      </c>
      <c r="B206" t="s">
        <v>396</v>
      </c>
      <c r="C206" t="s">
        <v>78</v>
      </c>
      <c r="D206" t="s">
        <v>52</v>
      </c>
      <c r="E206" t="s">
        <v>94</v>
      </c>
      <c r="F206" t="s">
        <v>46</v>
      </c>
      <c r="G206">
        <v>14944621</v>
      </c>
      <c r="H206">
        <v>11198732</v>
      </c>
      <c r="I206">
        <v>3745889</v>
      </c>
      <c r="J206">
        <v>0.75</v>
      </c>
      <c r="K206">
        <v>9.2899999999999991</v>
      </c>
      <c r="L206">
        <v>5</v>
      </c>
      <c r="M206" t="s">
        <v>31</v>
      </c>
      <c r="N206">
        <v>0</v>
      </c>
      <c r="O206" t="s">
        <v>32</v>
      </c>
      <c r="P206">
        <v>1</v>
      </c>
      <c r="Q206">
        <v>3</v>
      </c>
      <c r="R206" t="s">
        <v>47</v>
      </c>
      <c r="S206" t="s">
        <v>57</v>
      </c>
      <c r="T206">
        <v>20</v>
      </c>
      <c r="U206">
        <v>315248665</v>
      </c>
      <c r="V206" t="s">
        <v>58</v>
      </c>
      <c r="W206" s="1">
        <v>44227</v>
      </c>
      <c r="X206" s="1">
        <v>44234</v>
      </c>
      <c r="Y206" s="5">
        <f>IF(Table1[[#This Row],[NPA_Flag]]=1, Table1[[#This Row],[Outstanding_Amount]], 0)</f>
        <v>0</v>
      </c>
      <c r="Z206" s="1">
        <v>46053</v>
      </c>
    </row>
    <row r="207" spans="1:26" x14ac:dyDescent="0.25">
      <c r="A207" t="s">
        <v>397</v>
      </c>
      <c r="B207" t="s">
        <v>398</v>
      </c>
      <c r="C207" t="s">
        <v>38</v>
      </c>
      <c r="D207" t="s">
        <v>61</v>
      </c>
      <c r="E207" t="s">
        <v>29</v>
      </c>
      <c r="F207" t="s">
        <v>68</v>
      </c>
      <c r="G207">
        <v>14882455</v>
      </c>
      <c r="H207">
        <v>11914536</v>
      </c>
      <c r="I207">
        <v>2967919</v>
      </c>
      <c r="J207">
        <v>0.8</v>
      </c>
      <c r="K207">
        <v>12.21</v>
      </c>
      <c r="L207">
        <v>27</v>
      </c>
      <c r="M207" t="s">
        <v>31</v>
      </c>
      <c r="N207">
        <v>0</v>
      </c>
      <c r="O207" t="s">
        <v>32</v>
      </c>
      <c r="P207">
        <v>0</v>
      </c>
      <c r="Q207">
        <v>1</v>
      </c>
      <c r="R207" t="s">
        <v>47</v>
      </c>
      <c r="S207" t="s">
        <v>48</v>
      </c>
      <c r="T207">
        <v>21</v>
      </c>
      <c r="U207">
        <v>101726691</v>
      </c>
      <c r="V207" t="s">
        <v>65</v>
      </c>
      <c r="W207" s="1">
        <v>45284</v>
      </c>
      <c r="X207" s="1">
        <v>45293</v>
      </c>
      <c r="Y207" s="5">
        <f>IF(Table1[[#This Row],[NPA_Flag]]=1, Table1[[#This Row],[Outstanding_Amount]], 0)</f>
        <v>0</v>
      </c>
      <c r="Z207" s="1">
        <v>46053</v>
      </c>
    </row>
    <row r="208" spans="1:26" x14ac:dyDescent="0.25">
      <c r="A208" t="s">
        <v>399</v>
      </c>
      <c r="B208" t="s">
        <v>77</v>
      </c>
      <c r="C208" t="s">
        <v>78</v>
      </c>
      <c r="D208" t="s">
        <v>28</v>
      </c>
      <c r="E208" t="s">
        <v>29</v>
      </c>
      <c r="F208" t="s">
        <v>30</v>
      </c>
      <c r="G208">
        <v>11444620</v>
      </c>
      <c r="H208">
        <v>10814298</v>
      </c>
      <c r="I208">
        <v>630322</v>
      </c>
      <c r="J208">
        <v>0.94</v>
      </c>
      <c r="K208">
        <v>11.21</v>
      </c>
      <c r="L208">
        <v>57</v>
      </c>
      <c r="M208" t="s">
        <v>55</v>
      </c>
      <c r="N208">
        <v>0</v>
      </c>
      <c r="O208" t="s">
        <v>56</v>
      </c>
      <c r="P208">
        <v>0</v>
      </c>
      <c r="Q208">
        <v>2</v>
      </c>
      <c r="R208" t="s">
        <v>33</v>
      </c>
      <c r="S208" t="s">
        <v>64</v>
      </c>
      <c r="T208">
        <v>11</v>
      </c>
      <c r="U208">
        <v>370148766</v>
      </c>
      <c r="V208" t="s">
        <v>49</v>
      </c>
      <c r="W208" s="1">
        <v>44446</v>
      </c>
      <c r="X208" s="1">
        <v>44451</v>
      </c>
      <c r="Y208" s="5">
        <f>IF(Table1[[#This Row],[NPA_Flag]]=1, Table1[[#This Row],[Outstanding_Amount]], 0)</f>
        <v>0</v>
      </c>
      <c r="Z208" s="1">
        <v>46053</v>
      </c>
    </row>
    <row r="209" spans="1:26" x14ac:dyDescent="0.25">
      <c r="A209" t="s">
        <v>400</v>
      </c>
      <c r="B209" t="s">
        <v>187</v>
      </c>
      <c r="C209" t="s">
        <v>38</v>
      </c>
      <c r="D209" t="s">
        <v>39</v>
      </c>
      <c r="E209" t="s">
        <v>73</v>
      </c>
      <c r="F209" t="s">
        <v>46</v>
      </c>
      <c r="G209">
        <v>11133489</v>
      </c>
      <c r="H209">
        <v>9118751</v>
      </c>
      <c r="I209">
        <v>2014738</v>
      </c>
      <c r="J209">
        <v>0.82</v>
      </c>
      <c r="K209">
        <v>9.82</v>
      </c>
      <c r="L209">
        <v>30</v>
      </c>
      <c r="M209" t="s">
        <v>31</v>
      </c>
      <c r="N209">
        <v>0</v>
      </c>
      <c r="O209" t="s">
        <v>32</v>
      </c>
      <c r="P209">
        <v>1</v>
      </c>
      <c r="Q209">
        <v>3</v>
      </c>
      <c r="R209" t="s">
        <v>41</v>
      </c>
      <c r="S209" t="s">
        <v>57</v>
      </c>
      <c r="T209">
        <v>24</v>
      </c>
      <c r="U209">
        <v>488892316</v>
      </c>
      <c r="V209" t="s">
        <v>65</v>
      </c>
      <c r="W209" s="1">
        <v>44826</v>
      </c>
      <c r="X209" s="1">
        <v>44832</v>
      </c>
      <c r="Y209" s="5">
        <f>IF(Table1[[#This Row],[NPA_Flag]]=1, Table1[[#This Row],[Outstanding_Amount]], 0)</f>
        <v>0</v>
      </c>
      <c r="Z209" s="1">
        <v>46053</v>
      </c>
    </row>
    <row r="210" spans="1:26" x14ac:dyDescent="0.25">
      <c r="A210" t="s">
        <v>401</v>
      </c>
      <c r="B210" t="s">
        <v>402</v>
      </c>
      <c r="C210" t="s">
        <v>38</v>
      </c>
      <c r="D210" t="s">
        <v>28</v>
      </c>
      <c r="E210" t="s">
        <v>73</v>
      </c>
      <c r="F210" t="s">
        <v>54</v>
      </c>
      <c r="G210">
        <v>6315858</v>
      </c>
      <c r="H210">
        <v>5716676</v>
      </c>
      <c r="I210">
        <v>599182</v>
      </c>
      <c r="J210">
        <v>0.91</v>
      </c>
      <c r="K210">
        <v>11.56</v>
      </c>
      <c r="L210">
        <v>74</v>
      </c>
      <c r="M210" t="s">
        <v>90</v>
      </c>
      <c r="N210">
        <v>0</v>
      </c>
      <c r="O210" t="s">
        <v>70</v>
      </c>
      <c r="P210">
        <v>1</v>
      </c>
      <c r="Q210">
        <v>4</v>
      </c>
      <c r="R210" t="s">
        <v>33</v>
      </c>
      <c r="S210" t="s">
        <v>34</v>
      </c>
      <c r="T210">
        <v>25</v>
      </c>
      <c r="U210">
        <v>414104475</v>
      </c>
      <c r="V210" t="s">
        <v>65</v>
      </c>
      <c r="W210" s="1">
        <v>45195</v>
      </c>
      <c r="X210" s="1">
        <v>45199</v>
      </c>
      <c r="Y210" s="5">
        <f>IF(Table1[[#This Row],[NPA_Flag]]=1, Table1[[#This Row],[Outstanding_Amount]], 0)</f>
        <v>0</v>
      </c>
      <c r="Z210" s="1">
        <v>46053</v>
      </c>
    </row>
    <row r="211" spans="1:26" x14ac:dyDescent="0.25">
      <c r="A211" t="s">
        <v>403</v>
      </c>
      <c r="B211" t="s">
        <v>313</v>
      </c>
      <c r="C211" t="s">
        <v>27</v>
      </c>
      <c r="D211" t="s">
        <v>61</v>
      </c>
      <c r="E211" t="s">
        <v>40</v>
      </c>
      <c r="F211" t="s">
        <v>46</v>
      </c>
      <c r="G211">
        <v>4690226</v>
      </c>
      <c r="H211">
        <v>4154213</v>
      </c>
      <c r="I211">
        <v>536013</v>
      </c>
      <c r="J211">
        <v>0.89</v>
      </c>
      <c r="K211">
        <v>12.47</v>
      </c>
      <c r="L211">
        <v>22</v>
      </c>
      <c r="M211" t="s">
        <v>31</v>
      </c>
      <c r="N211">
        <v>0</v>
      </c>
      <c r="O211" t="s">
        <v>32</v>
      </c>
      <c r="P211">
        <v>1</v>
      </c>
      <c r="Q211">
        <v>4</v>
      </c>
      <c r="R211" t="s">
        <v>47</v>
      </c>
      <c r="S211" t="s">
        <v>34</v>
      </c>
      <c r="T211">
        <v>1</v>
      </c>
      <c r="U211">
        <v>206172365</v>
      </c>
      <c r="V211" t="s">
        <v>65</v>
      </c>
      <c r="W211" s="1">
        <v>43834</v>
      </c>
      <c r="X211" s="1">
        <v>43838</v>
      </c>
      <c r="Y211" s="5">
        <f>IF(Table1[[#This Row],[NPA_Flag]]=1, Table1[[#This Row],[Outstanding_Amount]], 0)</f>
        <v>0</v>
      </c>
      <c r="Z211" s="1">
        <v>46053</v>
      </c>
    </row>
    <row r="212" spans="1:26" x14ac:dyDescent="0.25">
      <c r="A212" t="s">
        <v>404</v>
      </c>
      <c r="B212" t="s">
        <v>405</v>
      </c>
      <c r="C212" t="s">
        <v>27</v>
      </c>
      <c r="D212" t="s">
        <v>28</v>
      </c>
      <c r="E212" t="s">
        <v>73</v>
      </c>
      <c r="F212" t="s">
        <v>46</v>
      </c>
      <c r="G212">
        <v>4393190</v>
      </c>
      <c r="H212">
        <v>2800394</v>
      </c>
      <c r="I212">
        <v>1592796</v>
      </c>
      <c r="J212">
        <v>0.64</v>
      </c>
      <c r="K212">
        <v>13.91</v>
      </c>
      <c r="L212">
        <v>20</v>
      </c>
      <c r="M212" t="s">
        <v>31</v>
      </c>
      <c r="N212">
        <v>0</v>
      </c>
      <c r="O212" t="s">
        <v>32</v>
      </c>
      <c r="P212">
        <v>1</v>
      </c>
      <c r="Q212">
        <v>3</v>
      </c>
      <c r="R212" t="s">
        <v>41</v>
      </c>
      <c r="S212" t="s">
        <v>57</v>
      </c>
      <c r="T212">
        <v>9</v>
      </c>
      <c r="U212">
        <v>56483823</v>
      </c>
      <c r="V212" t="s">
        <v>65</v>
      </c>
      <c r="W212" s="1">
        <v>44761</v>
      </c>
      <c r="X212" s="1">
        <v>44768</v>
      </c>
      <c r="Y212" s="5">
        <f>IF(Table1[[#This Row],[NPA_Flag]]=1, Table1[[#This Row],[Outstanding_Amount]], 0)</f>
        <v>0</v>
      </c>
      <c r="Z212" s="1">
        <v>46053</v>
      </c>
    </row>
    <row r="213" spans="1:26" x14ac:dyDescent="0.25">
      <c r="A213" t="s">
        <v>406</v>
      </c>
      <c r="B213" t="s">
        <v>407</v>
      </c>
      <c r="C213" t="s">
        <v>78</v>
      </c>
      <c r="D213" t="s">
        <v>52</v>
      </c>
      <c r="E213" t="s">
        <v>45</v>
      </c>
      <c r="F213" t="s">
        <v>54</v>
      </c>
      <c r="G213">
        <v>11861875</v>
      </c>
      <c r="H213">
        <v>10436083</v>
      </c>
      <c r="I213">
        <v>1425792</v>
      </c>
      <c r="J213">
        <v>0.88</v>
      </c>
      <c r="K213">
        <v>12.13</v>
      </c>
      <c r="L213">
        <v>56</v>
      </c>
      <c r="M213" t="s">
        <v>55</v>
      </c>
      <c r="N213">
        <v>0</v>
      </c>
      <c r="O213" t="s">
        <v>56</v>
      </c>
      <c r="P213">
        <v>1</v>
      </c>
      <c r="Q213">
        <v>0</v>
      </c>
      <c r="R213" t="s">
        <v>41</v>
      </c>
      <c r="S213" t="s">
        <v>57</v>
      </c>
      <c r="T213">
        <v>4</v>
      </c>
      <c r="U213">
        <v>452762704</v>
      </c>
      <c r="V213" t="s">
        <v>58</v>
      </c>
      <c r="W213" s="1">
        <v>45084</v>
      </c>
      <c r="X213" s="1">
        <v>45089</v>
      </c>
      <c r="Y213" s="5">
        <f>IF(Table1[[#This Row],[NPA_Flag]]=1, Table1[[#This Row],[Outstanding_Amount]], 0)</f>
        <v>0</v>
      </c>
      <c r="Z213" s="1">
        <v>46053</v>
      </c>
    </row>
    <row r="214" spans="1:26" x14ac:dyDescent="0.25">
      <c r="A214" t="s">
        <v>408</v>
      </c>
      <c r="B214" t="s">
        <v>352</v>
      </c>
      <c r="C214" t="s">
        <v>44</v>
      </c>
      <c r="D214" t="s">
        <v>61</v>
      </c>
      <c r="E214" t="s">
        <v>53</v>
      </c>
      <c r="F214" t="s">
        <v>68</v>
      </c>
      <c r="G214">
        <v>6053955</v>
      </c>
      <c r="H214">
        <v>3882298</v>
      </c>
      <c r="I214">
        <v>2171657</v>
      </c>
      <c r="J214">
        <v>0.64</v>
      </c>
      <c r="K214">
        <v>12.43</v>
      </c>
      <c r="L214">
        <v>26</v>
      </c>
      <c r="M214" t="s">
        <v>31</v>
      </c>
      <c r="N214">
        <v>0</v>
      </c>
      <c r="O214" t="s">
        <v>32</v>
      </c>
      <c r="P214">
        <v>1</v>
      </c>
      <c r="Q214">
        <v>3</v>
      </c>
      <c r="R214" t="s">
        <v>33</v>
      </c>
      <c r="S214" t="s">
        <v>79</v>
      </c>
      <c r="T214">
        <v>13</v>
      </c>
      <c r="U214">
        <v>188542583</v>
      </c>
      <c r="V214" t="s">
        <v>65</v>
      </c>
      <c r="W214" s="1">
        <v>45101</v>
      </c>
      <c r="X214" s="1">
        <v>45104</v>
      </c>
      <c r="Y214" s="5">
        <f>IF(Table1[[#This Row],[NPA_Flag]]=1, Table1[[#This Row],[Outstanding_Amount]], 0)</f>
        <v>0</v>
      </c>
      <c r="Z214" s="1">
        <v>46053</v>
      </c>
    </row>
    <row r="215" spans="1:26" x14ac:dyDescent="0.25">
      <c r="A215" t="s">
        <v>409</v>
      </c>
      <c r="B215" t="s">
        <v>272</v>
      </c>
      <c r="C215" t="s">
        <v>38</v>
      </c>
      <c r="D215" t="s">
        <v>28</v>
      </c>
      <c r="E215" t="s">
        <v>82</v>
      </c>
      <c r="F215" t="s">
        <v>54</v>
      </c>
      <c r="G215">
        <v>14747831</v>
      </c>
      <c r="H215">
        <v>9174360</v>
      </c>
      <c r="I215">
        <v>5573471</v>
      </c>
      <c r="J215">
        <v>0.62</v>
      </c>
      <c r="K215">
        <v>10.41</v>
      </c>
      <c r="L215">
        <v>25</v>
      </c>
      <c r="M215" t="s">
        <v>31</v>
      </c>
      <c r="N215">
        <v>0</v>
      </c>
      <c r="O215" t="s">
        <v>32</v>
      </c>
      <c r="P215">
        <v>1</v>
      </c>
      <c r="Q215">
        <v>5</v>
      </c>
      <c r="R215" t="s">
        <v>91</v>
      </c>
      <c r="S215" t="s">
        <v>64</v>
      </c>
      <c r="T215">
        <v>9</v>
      </c>
      <c r="U215">
        <v>318668739</v>
      </c>
      <c r="V215" t="s">
        <v>49</v>
      </c>
      <c r="W215" s="1">
        <v>44295</v>
      </c>
      <c r="X215" s="1">
        <v>44303</v>
      </c>
      <c r="Y215" s="5">
        <f>IF(Table1[[#This Row],[NPA_Flag]]=1, Table1[[#This Row],[Outstanding_Amount]], 0)</f>
        <v>0</v>
      </c>
      <c r="Z215" s="1">
        <v>46053</v>
      </c>
    </row>
    <row r="216" spans="1:26" x14ac:dyDescent="0.25">
      <c r="A216" t="s">
        <v>410</v>
      </c>
      <c r="B216" t="s">
        <v>37</v>
      </c>
      <c r="C216" t="s">
        <v>78</v>
      </c>
      <c r="D216" t="s">
        <v>52</v>
      </c>
      <c r="E216" t="s">
        <v>29</v>
      </c>
      <c r="F216" t="s">
        <v>54</v>
      </c>
      <c r="G216">
        <v>5281303</v>
      </c>
      <c r="H216">
        <v>3884816</v>
      </c>
      <c r="I216">
        <v>1396487</v>
      </c>
      <c r="J216">
        <v>0.74</v>
      </c>
      <c r="K216">
        <v>11.31</v>
      </c>
      <c r="L216">
        <v>9</v>
      </c>
      <c r="M216" t="s">
        <v>31</v>
      </c>
      <c r="N216">
        <v>0</v>
      </c>
      <c r="O216" t="s">
        <v>32</v>
      </c>
      <c r="P216">
        <v>1</v>
      </c>
      <c r="Q216">
        <v>2</v>
      </c>
      <c r="R216" t="s">
        <v>33</v>
      </c>
      <c r="S216" t="s">
        <v>57</v>
      </c>
      <c r="T216">
        <v>3</v>
      </c>
      <c r="U216">
        <v>144818615</v>
      </c>
      <c r="V216" t="s">
        <v>35</v>
      </c>
      <c r="W216" s="1">
        <v>44483</v>
      </c>
      <c r="X216" s="1">
        <v>44487</v>
      </c>
      <c r="Y216" s="5">
        <f>IF(Table1[[#This Row],[NPA_Flag]]=1, Table1[[#This Row],[Outstanding_Amount]], 0)</f>
        <v>0</v>
      </c>
      <c r="Z216" s="1">
        <v>46053</v>
      </c>
    </row>
    <row r="217" spans="1:26" x14ac:dyDescent="0.25">
      <c r="A217" t="s">
        <v>411</v>
      </c>
      <c r="B217" t="s">
        <v>412</v>
      </c>
      <c r="C217" t="s">
        <v>44</v>
      </c>
      <c r="D217" t="s">
        <v>28</v>
      </c>
      <c r="E217" t="s">
        <v>29</v>
      </c>
      <c r="F217" t="s">
        <v>54</v>
      </c>
      <c r="G217">
        <v>13528428</v>
      </c>
      <c r="H217">
        <v>12228774</v>
      </c>
      <c r="I217">
        <v>1299654</v>
      </c>
      <c r="J217">
        <v>0.9</v>
      </c>
      <c r="K217">
        <v>10.32</v>
      </c>
      <c r="L217">
        <v>2</v>
      </c>
      <c r="M217" t="s">
        <v>31</v>
      </c>
      <c r="N217">
        <v>0</v>
      </c>
      <c r="O217" t="s">
        <v>32</v>
      </c>
      <c r="P217">
        <v>0</v>
      </c>
      <c r="Q217">
        <v>2</v>
      </c>
      <c r="R217" t="s">
        <v>33</v>
      </c>
      <c r="S217" t="s">
        <v>57</v>
      </c>
      <c r="T217">
        <v>6</v>
      </c>
      <c r="U217">
        <v>438549321</v>
      </c>
      <c r="V217" t="s">
        <v>49</v>
      </c>
      <c r="W217" s="1">
        <v>45093</v>
      </c>
      <c r="X217" s="1">
        <v>45103</v>
      </c>
      <c r="Y217" s="5">
        <f>IF(Table1[[#This Row],[NPA_Flag]]=1, Table1[[#This Row],[Outstanding_Amount]], 0)</f>
        <v>0</v>
      </c>
      <c r="Z217" s="1">
        <v>46053</v>
      </c>
    </row>
    <row r="218" spans="1:26" x14ac:dyDescent="0.25">
      <c r="A218" t="s">
        <v>413</v>
      </c>
      <c r="B218" t="s">
        <v>377</v>
      </c>
      <c r="C218" t="s">
        <v>38</v>
      </c>
      <c r="D218" t="s">
        <v>52</v>
      </c>
      <c r="E218" t="s">
        <v>85</v>
      </c>
      <c r="F218" t="s">
        <v>68</v>
      </c>
      <c r="G218">
        <v>7823741</v>
      </c>
      <c r="H218">
        <v>5978424</v>
      </c>
      <c r="I218">
        <v>1845317</v>
      </c>
      <c r="J218">
        <v>0.76</v>
      </c>
      <c r="K218">
        <v>11.38</v>
      </c>
      <c r="L218">
        <v>7</v>
      </c>
      <c r="M218" t="s">
        <v>31</v>
      </c>
      <c r="N218">
        <v>0</v>
      </c>
      <c r="O218" t="s">
        <v>32</v>
      </c>
      <c r="P218">
        <v>0</v>
      </c>
      <c r="Q218">
        <v>3</v>
      </c>
      <c r="R218" t="s">
        <v>33</v>
      </c>
      <c r="S218" t="s">
        <v>64</v>
      </c>
      <c r="T218">
        <v>19</v>
      </c>
      <c r="U218">
        <v>163883275</v>
      </c>
      <c r="V218" t="s">
        <v>65</v>
      </c>
      <c r="W218" s="1">
        <v>43970</v>
      </c>
      <c r="X218" s="1">
        <v>43978</v>
      </c>
      <c r="Y218" s="5">
        <f>IF(Table1[[#This Row],[NPA_Flag]]=1, Table1[[#This Row],[Outstanding_Amount]], 0)</f>
        <v>0</v>
      </c>
      <c r="Z218" s="1">
        <v>46053</v>
      </c>
    </row>
    <row r="219" spans="1:26" x14ac:dyDescent="0.25">
      <c r="A219" t="s">
        <v>414</v>
      </c>
      <c r="B219" t="s">
        <v>222</v>
      </c>
      <c r="C219" t="s">
        <v>27</v>
      </c>
      <c r="D219" t="s">
        <v>52</v>
      </c>
      <c r="E219" t="s">
        <v>102</v>
      </c>
      <c r="F219" t="s">
        <v>46</v>
      </c>
      <c r="G219">
        <v>12428657</v>
      </c>
      <c r="H219">
        <v>8068060</v>
      </c>
      <c r="I219">
        <v>4360597</v>
      </c>
      <c r="J219">
        <v>0.65</v>
      </c>
      <c r="K219">
        <v>13.57</v>
      </c>
      <c r="L219">
        <v>30</v>
      </c>
      <c r="M219" t="s">
        <v>31</v>
      </c>
      <c r="N219">
        <v>0</v>
      </c>
      <c r="O219" t="s">
        <v>32</v>
      </c>
      <c r="P219">
        <v>1</v>
      </c>
      <c r="Q219">
        <v>1</v>
      </c>
      <c r="R219" t="s">
        <v>91</v>
      </c>
      <c r="S219" t="s">
        <v>64</v>
      </c>
      <c r="T219">
        <v>18</v>
      </c>
      <c r="U219">
        <v>269519393</v>
      </c>
      <c r="V219" t="s">
        <v>35</v>
      </c>
      <c r="W219" s="1">
        <v>44273</v>
      </c>
      <c r="X219" s="1">
        <v>44276</v>
      </c>
      <c r="Y219" s="5">
        <f>IF(Table1[[#This Row],[NPA_Flag]]=1, Table1[[#This Row],[Outstanding_Amount]], 0)</f>
        <v>0</v>
      </c>
      <c r="Z219" s="1">
        <v>46053</v>
      </c>
    </row>
    <row r="220" spans="1:26" x14ac:dyDescent="0.25">
      <c r="A220" t="s">
        <v>415</v>
      </c>
      <c r="B220" t="s">
        <v>320</v>
      </c>
      <c r="C220" t="s">
        <v>27</v>
      </c>
      <c r="D220" t="s">
        <v>61</v>
      </c>
      <c r="E220" t="s">
        <v>82</v>
      </c>
      <c r="F220" t="s">
        <v>46</v>
      </c>
      <c r="G220">
        <v>12346738</v>
      </c>
      <c r="H220">
        <v>10766213</v>
      </c>
      <c r="I220">
        <v>1580525</v>
      </c>
      <c r="J220">
        <v>0.87</v>
      </c>
      <c r="K220">
        <v>10.48</v>
      </c>
      <c r="L220">
        <v>29</v>
      </c>
      <c r="M220" t="s">
        <v>31</v>
      </c>
      <c r="N220">
        <v>0</v>
      </c>
      <c r="O220" t="s">
        <v>32</v>
      </c>
      <c r="P220">
        <v>0</v>
      </c>
      <c r="Q220">
        <v>4</v>
      </c>
      <c r="R220" t="s">
        <v>47</v>
      </c>
      <c r="S220" t="s">
        <v>64</v>
      </c>
      <c r="T220">
        <v>6</v>
      </c>
      <c r="U220">
        <v>177107287</v>
      </c>
      <c r="V220" t="s">
        <v>49</v>
      </c>
      <c r="W220" s="1">
        <v>44349</v>
      </c>
      <c r="X220" s="1">
        <v>44351</v>
      </c>
      <c r="Y220" s="5">
        <f>IF(Table1[[#This Row],[NPA_Flag]]=1, Table1[[#This Row],[Outstanding_Amount]], 0)</f>
        <v>0</v>
      </c>
      <c r="Z220" s="1">
        <v>46053</v>
      </c>
    </row>
    <row r="221" spans="1:26" x14ac:dyDescent="0.25">
      <c r="A221" t="s">
        <v>416</v>
      </c>
      <c r="B221" t="s">
        <v>417</v>
      </c>
      <c r="C221" t="s">
        <v>38</v>
      </c>
      <c r="D221" t="s">
        <v>39</v>
      </c>
      <c r="E221" t="s">
        <v>97</v>
      </c>
      <c r="F221" t="s">
        <v>46</v>
      </c>
      <c r="G221">
        <v>8576056</v>
      </c>
      <c r="H221">
        <v>6104755</v>
      </c>
      <c r="I221">
        <v>2471301</v>
      </c>
      <c r="J221">
        <v>0.71</v>
      </c>
      <c r="K221">
        <v>9.02</v>
      </c>
      <c r="L221">
        <v>115</v>
      </c>
      <c r="M221" t="s">
        <v>69</v>
      </c>
      <c r="N221">
        <v>1</v>
      </c>
      <c r="O221" t="s">
        <v>70</v>
      </c>
      <c r="P221">
        <v>0</v>
      </c>
      <c r="Q221">
        <v>2</v>
      </c>
      <c r="R221" t="s">
        <v>47</v>
      </c>
      <c r="S221" t="s">
        <v>48</v>
      </c>
      <c r="T221">
        <v>24</v>
      </c>
      <c r="U221">
        <v>203303985</v>
      </c>
      <c r="V221" t="s">
        <v>58</v>
      </c>
      <c r="W221" s="1">
        <v>44846</v>
      </c>
      <c r="X221" s="1">
        <v>44854</v>
      </c>
      <c r="Y221" s="5">
        <f>IF(Table1[[#This Row],[NPA_Flag]]=1, Table1[[#This Row],[Outstanding_Amount]], 0)</f>
        <v>6104755</v>
      </c>
      <c r="Z221" s="1">
        <v>46053</v>
      </c>
    </row>
    <row r="222" spans="1:26" x14ac:dyDescent="0.25">
      <c r="A222" t="s">
        <v>418</v>
      </c>
      <c r="B222" t="s">
        <v>419</v>
      </c>
      <c r="C222" t="s">
        <v>38</v>
      </c>
      <c r="D222" t="s">
        <v>61</v>
      </c>
      <c r="E222" t="s">
        <v>102</v>
      </c>
      <c r="F222" t="s">
        <v>54</v>
      </c>
      <c r="G222">
        <v>11365867</v>
      </c>
      <c r="H222">
        <v>7313464</v>
      </c>
      <c r="I222">
        <v>4052403</v>
      </c>
      <c r="J222">
        <v>0.64</v>
      </c>
      <c r="K222">
        <v>9.27</v>
      </c>
      <c r="L222">
        <v>12</v>
      </c>
      <c r="M222" t="s">
        <v>31</v>
      </c>
      <c r="N222">
        <v>0</v>
      </c>
      <c r="O222" t="s">
        <v>32</v>
      </c>
      <c r="P222">
        <v>1</v>
      </c>
      <c r="Q222">
        <v>1</v>
      </c>
      <c r="R222" t="s">
        <v>91</v>
      </c>
      <c r="S222" t="s">
        <v>34</v>
      </c>
      <c r="T222">
        <v>7</v>
      </c>
      <c r="U222">
        <v>449555978</v>
      </c>
      <c r="V222" t="s">
        <v>35</v>
      </c>
      <c r="W222" s="1">
        <v>44947</v>
      </c>
      <c r="X222" s="1">
        <v>44951</v>
      </c>
      <c r="Y222" s="5">
        <f>IF(Table1[[#This Row],[NPA_Flag]]=1, Table1[[#This Row],[Outstanding_Amount]], 0)</f>
        <v>0</v>
      </c>
      <c r="Z222" s="1">
        <v>46053</v>
      </c>
    </row>
    <row r="223" spans="1:26" x14ac:dyDescent="0.25">
      <c r="A223" t="s">
        <v>420</v>
      </c>
      <c r="B223" t="s">
        <v>138</v>
      </c>
      <c r="C223" t="s">
        <v>44</v>
      </c>
      <c r="D223" t="s">
        <v>52</v>
      </c>
      <c r="E223" t="s">
        <v>94</v>
      </c>
      <c r="F223" t="s">
        <v>30</v>
      </c>
      <c r="G223">
        <v>13673460</v>
      </c>
      <c r="H223">
        <v>9172377</v>
      </c>
      <c r="I223">
        <v>4501083</v>
      </c>
      <c r="J223">
        <v>0.67</v>
      </c>
      <c r="K223">
        <v>12.09</v>
      </c>
      <c r="L223">
        <v>22</v>
      </c>
      <c r="M223" t="s">
        <v>31</v>
      </c>
      <c r="N223">
        <v>0</v>
      </c>
      <c r="O223" t="s">
        <v>32</v>
      </c>
      <c r="P223">
        <v>1</v>
      </c>
      <c r="Q223">
        <v>0</v>
      </c>
      <c r="R223" t="s">
        <v>33</v>
      </c>
      <c r="S223" t="s">
        <v>79</v>
      </c>
      <c r="T223">
        <v>4</v>
      </c>
      <c r="U223">
        <v>349404951</v>
      </c>
      <c r="V223" t="s">
        <v>65</v>
      </c>
      <c r="W223" s="1">
        <v>44690</v>
      </c>
      <c r="X223" s="1">
        <v>44694</v>
      </c>
      <c r="Y223" s="5">
        <f>IF(Table1[[#This Row],[NPA_Flag]]=1, Table1[[#This Row],[Outstanding_Amount]], 0)</f>
        <v>0</v>
      </c>
      <c r="Z223" s="1">
        <v>46053</v>
      </c>
    </row>
    <row r="224" spans="1:26" x14ac:dyDescent="0.25">
      <c r="A224" t="s">
        <v>421</v>
      </c>
      <c r="B224" t="s">
        <v>422</v>
      </c>
      <c r="C224" t="s">
        <v>78</v>
      </c>
      <c r="D224" t="s">
        <v>52</v>
      </c>
      <c r="E224" t="s">
        <v>97</v>
      </c>
      <c r="F224" t="s">
        <v>54</v>
      </c>
      <c r="G224">
        <v>10791362</v>
      </c>
      <c r="H224">
        <v>8008012</v>
      </c>
      <c r="I224">
        <v>2783350</v>
      </c>
      <c r="J224">
        <v>0.74</v>
      </c>
      <c r="K224">
        <v>10.11</v>
      </c>
      <c r="L224">
        <v>26</v>
      </c>
      <c r="M224" t="s">
        <v>31</v>
      </c>
      <c r="N224">
        <v>0</v>
      </c>
      <c r="O224" t="s">
        <v>32</v>
      </c>
      <c r="P224">
        <v>0</v>
      </c>
      <c r="Q224">
        <v>3</v>
      </c>
      <c r="R224" t="s">
        <v>91</v>
      </c>
      <c r="S224" t="s">
        <v>48</v>
      </c>
      <c r="T224">
        <v>4</v>
      </c>
      <c r="U224">
        <v>87229775</v>
      </c>
      <c r="V224" t="s">
        <v>49</v>
      </c>
      <c r="W224" s="1">
        <v>44009</v>
      </c>
      <c r="X224" s="1">
        <v>44018</v>
      </c>
      <c r="Y224" s="5">
        <f>IF(Table1[[#This Row],[NPA_Flag]]=1, Table1[[#This Row],[Outstanding_Amount]], 0)</f>
        <v>0</v>
      </c>
      <c r="Z224" s="1">
        <v>46053</v>
      </c>
    </row>
    <row r="225" spans="1:26" x14ac:dyDescent="0.25">
      <c r="A225" t="s">
        <v>423</v>
      </c>
      <c r="B225" t="s">
        <v>424</v>
      </c>
      <c r="C225" t="s">
        <v>78</v>
      </c>
      <c r="D225" t="s">
        <v>52</v>
      </c>
      <c r="E225" t="s">
        <v>53</v>
      </c>
      <c r="F225" t="s">
        <v>46</v>
      </c>
      <c r="G225">
        <v>3852068</v>
      </c>
      <c r="H225">
        <v>3232695</v>
      </c>
      <c r="I225">
        <v>619373</v>
      </c>
      <c r="J225">
        <v>0.84</v>
      </c>
      <c r="K225">
        <v>10.46</v>
      </c>
      <c r="L225">
        <v>27</v>
      </c>
      <c r="M225" t="s">
        <v>31</v>
      </c>
      <c r="N225">
        <v>0</v>
      </c>
      <c r="O225" t="s">
        <v>32</v>
      </c>
      <c r="P225">
        <v>0</v>
      </c>
      <c r="Q225">
        <v>4</v>
      </c>
      <c r="R225" t="s">
        <v>33</v>
      </c>
      <c r="S225" t="s">
        <v>64</v>
      </c>
      <c r="T225">
        <v>16</v>
      </c>
      <c r="U225">
        <v>493880235</v>
      </c>
      <c r="V225" t="s">
        <v>49</v>
      </c>
      <c r="W225" s="1">
        <v>44000</v>
      </c>
      <c r="X225" s="1">
        <v>44007</v>
      </c>
      <c r="Y225" s="5">
        <f>IF(Table1[[#This Row],[NPA_Flag]]=1, Table1[[#This Row],[Outstanding_Amount]], 0)</f>
        <v>0</v>
      </c>
      <c r="Z225" s="1">
        <v>46053</v>
      </c>
    </row>
    <row r="226" spans="1:26" x14ac:dyDescent="0.25">
      <c r="A226" t="s">
        <v>425</v>
      </c>
      <c r="B226" t="s">
        <v>213</v>
      </c>
      <c r="C226" t="s">
        <v>78</v>
      </c>
      <c r="D226" t="s">
        <v>52</v>
      </c>
      <c r="E226" t="s">
        <v>102</v>
      </c>
      <c r="F226" t="s">
        <v>54</v>
      </c>
      <c r="G226">
        <v>13100774</v>
      </c>
      <c r="H226">
        <v>8068250</v>
      </c>
      <c r="I226">
        <v>5032524</v>
      </c>
      <c r="J226">
        <v>0.62</v>
      </c>
      <c r="K226">
        <v>11.62</v>
      </c>
      <c r="L226">
        <v>28</v>
      </c>
      <c r="M226" t="s">
        <v>31</v>
      </c>
      <c r="N226">
        <v>0</v>
      </c>
      <c r="O226" t="s">
        <v>32</v>
      </c>
      <c r="P226">
        <v>1</v>
      </c>
      <c r="Q226">
        <v>4</v>
      </c>
      <c r="R226" t="s">
        <v>47</v>
      </c>
      <c r="S226" t="s">
        <v>64</v>
      </c>
      <c r="T226">
        <v>6</v>
      </c>
      <c r="U226">
        <v>390570597</v>
      </c>
      <c r="V226" t="s">
        <v>49</v>
      </c>
      <c r="W226" s="1">
        <v>44328</v>
      </c>
      <c r="X226" s="1">
        <v>44333</v>
      </c>
      <c r="Y226" s="5">
        <f>IF(Table1[[#This Row],[NPA_Flag]]=1, Table1[[#This Row],[Outstanding_Amount]], 0)</f>
        <v>0</v>
      </c>
      <c r="Z226" s="1">
        <v>46053</v>
      </c>
    </row>
    <row r="227" spans="1:26" x14ac:dyDescent="0.25">
      <c r="A227" t="s">
        <v>426</v>
      </c>
      <c r="B227" t="s">
        <v>101</v>
      </c>
      <c r="C227" t="s">
        <v>38</v>
      </c>
      <c r="D227" t="s">
        <v>61</v>
      </c>
      <c r="E227" t="s">
        <v>82</v>
      </c>
      <c r="F227" t="s">
        <v>30</v>
      </c>
      <c r="G227">
        <v>10496100</v>
      </c>
      <c r="H227">
        <v>8867093</v>
      </c>
      <c r="I227">
        <v>1629007</v>
      </c>
      <c r="J227">
        <v>0.84</v>
      </c>
      <c r="K227">
        <v>12.21</v>
      </c>
      <c r="L227">
        <v>1</v>
      </c>
      <c r="M227" t="s">
        <v>31</v>
      </c>
      <c r="N227">
        <v>0</v>
      </c>
      <c r="O227" t="s">
        <v>32</v>
      </c>
      <c r="P227">
        <v>1</v>
      </c>
      <c r="Q227">
        <v>2</v>
      </c>
      <c r="R227" t="s">
        <v>33</v>
      </c>
      <c r="S227" t="s">
        <v>48</v>
      </c>
      <c r="T227">
        <v>23</v>
      </c>
      <c r="U227">
        <v>349440986</v>
      </c>
      <c r="V227" t="s">
        <v>35</v>
      </c>
      <c r="W227" s="1">
        <v>44782</v>
      </c>
      <c r="X227" s="1">
        <v>44792</v>
      </c>
      <c r="Y227" s="5">
        <f>IF(Table1[[#This Row],[NPA_Flag]]=1, Table1[[#This Row],[Outstanding_Amount]], 0)</f>
        <v>0</v>
      </c>
      <c r="Z227" s="1">
        <v>46053</v>
      </c>
    </row>
    <row r="228" spans="1:26" x14ac:dyDescent="0.25">
      <c r="A228" t="s">
        <v>427</v>
      </c>
      <c r="B228" t="s">
        <v>207</v>
      </c>
      <c r="C228" t="s">
        <v>27</v>
      </c>
      <c r="D228" t="s">
        <v>61</v>
      </c>
      <c r="E228" t="s">
        <v>102</v>
      </c>
      <c r="F228" t="s">
        <v>68</v>
      </c>
      <c r="G228">
        <v>2278123</v>
      </c>
      <c r="H228">
        <v>2089135</v>
      </c>
      <c r="I228">
        <v>188988</v>
      </c>
      <c r="J228">
        <v>0.92</v>
      </c>
      <c r="K228">
        <v>10.9</v>
      </c>
      <c r="L228">
        <v>20</v>
      </c>
      <c r="M228" t="s">
        <v>31</v>
      </c>
      <c r="N228">
        <v>0</v>
      </c>
      <c r="O228" t="s">
        <v>32</v>
      </c>
      <c r="P228">
        <v>1</v>
      </c>
      <c r="Q228">
        <v>4</v>
      </c>
      <c r="R228" t="s">
        <v>47</v>
      </c>
      <c r="S228" t="s">
        <v>64</v>
      </c>
      <c r="T228">
        <v>14</v>
      </c>
      <c r="U228">
        <v>270304535</v>
      </c>
      <c r="V228" t="s">
        <v>65</v>
      </c>
      <c r="W228" s="1">
        <v>44044</v>
      </c>
      <c r="X228" s="1">
        <v>44048</v>
      </c>
      <c r="Y228" s="5">
        <f>IF(Table1[[#This Row],[NPA_Flag]]=1, Table1[[#This Row],[Outstanding_Amount]], 0)</f>
        <v>0</v>
      </c>
      <c r="Z228" s="1">
        <v>46053</v>
      </c>
    </row>
    <row r="229" spans="1:26" x14ac:dyDescent="0.25">
      <c r="A229" t="s">
        <v>428</v>
      </c>
      <c r="B229" t="s">
        <v>89</v>
      </c>
      <c r="C229" t="s">
        <v>27</v>
      </c>
      <c r="D229" t="s">
        <v>61</v>
      </c>
      <c r="E229" t="s">
        <v>97</v>
      </c>
      <c r="F229" t="s">
        <v>54</v>
      </c>
      <c r="G229">
        <v>4985188</v>
      </c>
      <c r="H229">
        <v>4271513</v>
      </c>
      <c r="I229">
        <v>713675</v>
      </c>
      <c r="J229">
        <v>0.86</v>
      </c>
      <c r="K229">
        <v>10.130000000000001</v>
      </c>
      <c r="L229">
        <v>16</v>
      </c>
      <c r="M229" t="s">
        <v>31</v>
      </c>
      <c r="N229">
        <v>0</v>
      </c>
      <c r="O229" t="s">
        <v>32</v>
      </c>
      <c r="P229">
        <v>1</v>
      </c>
      <c r="Q229">
        <v>2</v>
      </c>
      <c r="R229" t="s">
        <v>47</v>
      </c>
      <c r="S229" t="s">
        <v>48</v>
      </c>
      <c r="T229">
        <v>5</v>
      </c>
      <c r="U229">
        <v>280360701</v>
      </c>
      <c r="V229" t="s">
        <v>58</v>
      </c>
      <c r="W229" s="1">
        <v>44560</v>
      </c>
      <c r="X229" s="1">
        <v>44564</v>
      </c>
      <c r="Y229" s="5">
        <f>IF(Table1[[#This Row],[NPA_Flag]]=1, Table1[[#This Row],[Outstanding_Amount]], 0)</f>
        <v>0</v>
      </c>
      <c r="Z229" s="1">
        <v>46053</v>
      </c>
    </row>
    <row r="230" spans="1:26" x14ac:dyDescent="0.25">
      <c r="A230" t="s">
        <v>429</v>
      </c>
      <c r="B230" t="s">
        <v>117</v>
      </c>
      <c r="C230" t="s">
        <v>27</v>
      </c>
      <c r="D230" t="s">
        <v>61</v>
      </c>
      <c r="E230" t="s">
        <v>45</v>
      </c>
      <c r="F230" t="s">
        <v>68</v>
      </c>
      <c r="G230">
        <v>13268348</v>
      </c>
      <c r="H230">
        <v>12007975</v>
      </c>
      <c r="I230">
        <v>1260373</v>
      </c>
      <c r="J230">
        <v>0.91</v>
      </c>
      <c r="K230">
        <v>12.36</v>
      </c>
      <c r="L230">
        <v>19</v>
      </c>
      <c r="M230" t="s">
        <v>31</v>
      </c>
      <c r="N230">
        <v>0</v>
      </c>
      <c r="O230" t="s">
        <v>32</v>
      </c>
      <c r="P230">
        <v>1</v>
      </c>
      <c r="Q230">
        <v>5</v>
      </c>
      <c r="R230" t="s">
        <v>41</v>
      </c>
      <c r="S230" t="s">
        <v>48</v>
      </c>
      <c r="T230">
        <v>20</v>
      </c>
      <c r="U230">
        <v>491868814</v>
      </c>
      <c r="V230" t="s">
        <v>49</v>
      </c>
      <c r="W230" s="1">
        <v>45109</v>
      </c>
      <c r="X230" s="1">
        <v>45119</v>
      </c>
      <c r="Y230" s="5">
        <f>IF(Table1[[#This Row],[NPA_Flag]]=1, Table1[[#This Row],[Outstanding_Amount]], 0)</f>
        <v>0</v>
      </c>
      <c r="Z230" s="1">
        <v>46053</v>
      </c>
    </row>
    <row r="231" spans="1:26" x14ac:dyDescent="0.25">
      <c r="A231" t="s">
        <v>430</v>
      </c>
      <c r="B231" t="s">
        <v>281</v>
      </c>
      <c r="C231" t="s">
        <v>78</v>
      </c>
      <c r="D231" t="s">
        <v>28</v>
      </c>
      <c r="E231" t="s">
        <v>97</v>
      </c>
      <c r="F231" t="s">
        <v>30</v>
      </c>
      <c r="G231">
        <v>8714483</v>
      </c>
      <c r="H231">
        <v>5458280</v>
      </c>
      <c r="I231">
        <v>3256203</v>
      </c>
      <c r="J231">
        <v>0.63</v>
      </c>
      <c r="K231">
        <v>10.78</v>
      </c>
      <c r="L231">
        <v>21</v>
      </c>
      <c r="M231" t="s">
        <v>31</v>
      </c>
      <c r="N231">
        <v>0</v>
      </c>
      <c r="O231" t="s">
        <v>32</v>
      </c>
      <c r="P231">
        <v>1</v>
      </c>
      <c r="Q231">
        <v>3</v>
      </c>
      <c r="R231" t="s">
        <v>47</v>
      </c>
      <c r="S231" t="s">
        <v>57</v>
      </c>
      <c r="T231">
        <v>12</v>
      </c>
      <c r="U231">
        <v>169964796</v>
      </c>
      <c r="V231" t="s">
        <v>58</v>
      </c>
      <c r="W231" s="1">
        <v>44695</v>
      </c>
      <c r="X231" s="1">
        <v>44698</v>
      </c>
      <c r="Y231" s="5">
        <f>IF(Table1[[#This Row],[NPA_Flag]]=1, Table1[[#This Row],[Outstanding_Amount]], 0)</f>
        <v>0</v>
      </c>
      <c r="Z231" s="1">
        <v>46053</v>
      </c>
    </row>
    <row r="232" spans="1:26" x14ac:dyDescent="0.25">
      <c r="A232" t="s">
        <v>431</v>
      </c>
      <c r="B232" t="s">
        <v>432</v>
      </c>
      <c r="C232" t="s">
        <v>78</v>
      </c>
      <c r="D232" t="s">
        <v>28</v>
      </c>
      <c r="E232" t="s">
        <v>45</v>
      </c>
      <c r="F232" t="s">
        <v>46</v>
      </c>
      <c r="G232">
        <v>13463714</v>
      </c>
      <c r="H232">
        <v>9707582</v>
      </c>
      <c r="I232">
        <v>3756132</v>
      </c>
      <c r="J232">
        <v>0.72</v>
      </c>
      <c r="K232">
        <v>13.83</v>
      </c>
      <c r="L232">
        <v>9</v>
      </c>
      <c r="M232" t="s">
        <v>31</v>
      </c>
      <c r="N232">
        <v>0</v>
      </c>
      <c r="O232" t="s">
        <v>32</v>
      </c>
      <c r="P232">
        <v>1</v>
      </c>
      <c r="Q232">
        <v>0</v>
      </c>
      <c r="R232" t="s">
        <v>41</v>
      </c>
      <c r="S232" t="s">
        <v>34</v>
      </c>
      <c r="T232">
        <v>9</v>
      </c>
      <c r="U232">
        <v>90334188</v>
      </c>
      <c r="V232" t="s">
        <v>49</v>
      </c>
      <c r="W232" s="1">
        <v>45049</v>
      </c>
      <c r="X232" s="1">
        <v>45050</v>
      </c>
      <c r="Y232" s="5">
        <f>IF(Table1[[#This Row],[NPA_Flag]]=1, Table1[[#This Row],[Outstanding_Amount]], 0)</f>
        <v>0</v>
      </c>
      <c r="Z232" s="1">
        <v>46053</v>
      </c>
    </row>
    <row r="233" spans="1:26" x14ac:dyDescent="0.25">
      <c r="A233" t="s">
        <v>433</v>
      </c>
      <c r="B233" t="s">
        <v>311</v>
      </c>
      <c r="C233" t="s">
        <v>27</v>
      </c>
      <c r="D233" t="s">
        <v>28</v>
      </c>
      <c r="E233" t="s">
        <v>102</v>
      </c>
      <c r="F233" t="s">
        <v>68</v>
      </c>
      <c r="G233">
        <v>9235552</v>
      </c>
      <c r="H233">
        <v>5821758</v>
      </c>
      <c r="I233">
        <v>3413794</v>
      </c>
      <c r="J233">
        <v>0.63</v>
      </c>
      <c r="K233">
        <v>12.78</v>
      </c>
      <c r="L233">
        <v>20</v>
      </c>
      <c r="M233" t="s">
        <v>31</v>
      </c>
      <c r="N233">
        <v>0</v>
      </c>
      <c r="O233" t="s">
        <v>32</v>
      </c>
      <c r="P233">
        <v>0</v>
      </c>
      <c r="Q233">
        <v>5</v>
      </c>
      <c r="R233" t="s">
        <v>91</v>
      </c>
      <c r="S233" t="s">
        <v>64</v>
      </c>
      <c r="T233">
        <v>6</v>
      </c>
      <c r="U233">
        <v>210054299</v>
      </c>
      <c r="V233" t="s">
        <v>65</v>
      </c>
      <c r="W233" s="1">
        <v>45237</v>
      </c>
      <c r="X233" s="1">
        <v>45246</v>
      </c>
      <c r="Y233" s="5">
        <f>IF(Table1[[#This Row],[NPA_Flag]]=1, Table1[[#This Row],[Outstanding_Amount]], 0)</f>
        <v>0</v>
      </c>
      <c r="Z233" s="1">
        <v>46053</v>
      </c>
    </row>
    <row r="234" spans="1:26" x14ac:dyDescent="0.25">
      <c r="A234" t="s">
        <v>434</v>
      </c>
      <c r="B234" t="s">
        <v>298</v>
      </c>
      <c r="C234" t="s">
        <v>44</v>
      </c>
      <c r="D234" t="s">
        <v>61</v>
      </c>
      <c r="E234" t="s">
        <v>85</v>
      </c>
      <c r="F234" t="s">
        <v>30</v>
      </c>
      <c r="G234">
        <v>8368840</v>
      </c>
      <c r="H234">
        <v>6553850</v>
      </c>
      <c r="I234">
        <v>1814990</v>
      </c>
      <c r="J234">
        <v>0.78</v>
      </c>
      <c r="K234">
        <v>12.5</v>
      </c>
      <c r="L234">
        <v>28</v>
      </c>
      <c r="M234" t="s">
        <v>31</v>
      </c>
      <c r="N234">
        <v>0</v>
      </c>
      <c r="O234" t="s">
        <v>32</v>
      </c>
      <c r="P234">
        <v>1</v>
      </c>
      <c r="Q234">
        <v>1</v>
      </c>
      <c r="R234" t="s">
        <v>41</v>
      </c>
      <c r="S234" t="s">
        <v>34</v>
      </c>
      <c r="T234">
        <v>6</v>
      </c>
      <c r="U234">
        <v>136043853</v>
      </c>
      <c r="V234" t="s">
        <v>65</v>
      </c>
      <c r="W234" s="1">
        <v>44106</v>
      </c>
      <c r="X234" s="1">
        <v>44116</v>
      </c>
      <c r="Y234" s="5">
        <f>IF(Table1[[#This Row],[NPA_Flag]]=1, Table1[[#This Row],[Outstanding_Amount]], 0)</f>
        <v>0</v>
      </c>
      <c r="Z234" s="1">
        <v>46053</v>
      </c>
    </row>
    <row r="235" spans="1:26" x14ac:dyDescent="0.25">
      <c r="A235" t="s">
        <v>435</v>
      </c>
      <c r="B235" t="s">
        <v>350</v>
      </c>
      <c r="C235" t="s">
        <v>38</v>
      </c>
      <c r="D235" t="s">
        <v>52</v>
      </c>
      <c r="E235" t="s">
        <v>45</v>
      </c>
      <c r="F235" t="s">
        <v>68</v>
      </c>
      <c r="G235">
        <v>4408524</v>
      </c>
      <c r="H235">
        <v>3260270</v>
      </c>
      <c r="I235">
        <v>1148254</v>
      </c>
      <c r="J235">
        <v>0.74</v>
      </c>
      <c r="K235">
        <v>13.74</v>
      </c>
      <c r="L235">
        <v>1</v>
      </c>
      <c r="M235" t="s">
        <v>31</v>
      </c>
      <c r="N235">
        <v>0</v>
      </c>
      <c r="O235" t="s">
        <v>32</v>
      </c>
      <c r="P235">
        <v>1</v>
      </c>
      <c r="Q235">
        <v>2</v>
      </c>
      <c r="R235" t="s">
        <v>41</v>
      </c>
      <c r="S235" t="s">
        <v>64</v>
      </c>
      <c r="T235">
        <v>13</v>
      </c>
      <c r="U235">
        <v>15310892</v>
      </c>
      <c r="V235" t="s">
        <v>58</v>
      </c>
      <c r="W235" s="1">
        <v>44323</v>
      </c>
      <c r="X235" s="1">
        <v>44331</v>
      </c>
      <c r="Y235" s="5">
        <f>IF(Table1[[#This Row],[NPA_Flag]]=1, Table1[[#This Row],[Outstanding_Amount]], 0)</f>
        <v>0</v>
      </c>
      <c r="Z235" s="1">
        <v>46053</v>
      </c>
    </row>
    <row r="236" spans="1:26" x14ac:dyDescent="0.25">
      <c r="A236" t="s">
        <v>436</v>
      </c>
      <c r="B236" t="s">
        <v>368</v>
      </c>
      <c r="C236" t="s">
        <v>78</v>
      </c>
      <c r="D236" t="s">
        <v>28</v>
      </c>
      <c r="E236" t="s">
        <v>94</v>
      </c>
      <c r="F236" t="s">
        <v>30</v>
      </c>
      <c r="G236">
        <v>6308340</v>
      </c>
      <c r="H236">
        <v>5859212</v>
      </c>
      <c r="I236">
        <v>449128</v>
      </c>
      <c r="J236">
        <v>0.93</v>
      </c>
      <c r="K236">
        <v>9.48</v>
      </c>
      <c r="L236">
        <v>30</v>
      </c>
      <c r="M236" t="s">
        <v>31</v>
      </c>
      <c r="N236">
        <v>0</v>
      </c>
      <c r="O236" t="s">
        <v>32</v>
      </c>
      <c r="P236">
        <v>1</v>
      </c>
      <c r="Q236">
        <v>1</v>
      </c>
      <c r="R236" t="s">
        <v>91</v>
      </c>
      <c r="S236" t="s">
        <v>34</v>
      </c>
      <c r="T236">
        <v>9</v>
      </c>
      <c r="U236">
        <v>495166782</v>
      </c>
      <c r="V236" t="s">
        <v>49</v>
      </c>
      <c r="W236" s="1">
        <v>44652</v>
      </c>
      <c r="X236" s="1">
        <v>44656</v>
      </c>
      <c r="Y236" s="5">
        <f>IF(Table1[[#This Row],[NPA_Flag]]=1, Table1[[#This Row],[Outstanding_Amount]], 0)</f>
        <v>0</v>
      </c>
      <c r="Z236" s="1">
        <v>46053</v>
      </c>
    </row>
    <row r="237" spans="1:26" x14ac:dyDescent="0.25">
      <c r="A237" t="s">
        <v>437</v>
      </c>
      <c r="B237" t="s">
        <v>114</v>
      </c>
      <c r="C237" t="s">
        <v>27</v>
      </c>
      <c r="D237" t="s">
        <v>61</v>
      </c>
      <c r="E237" t="s">
        <v>85</v>
      </c>
      <c r="F237" t="s">
        <v>46</v>
      </c>
      <c r="G237">
        <v>11654253</v>
      </c>
      <c r="H237">
        <v>9230552</v>
      </c>
      <c r="I237">
        <v>2423701</v>
      </c>
      <c r="J237">
        <v>0.79</v>
      </c>
      <c r="K237">
        <v>10.76</v>
      </c>
      <c r="L237">
        <v>10</v>
      </c>
      <c r="M237" t="s">
        <v>31</v>
      </c>
      <c r="N237">
        <v>0</v>
      </c>
      <c r="O237" t="s">
        <v>32</v>
      </c>
      <c r="P237">
        <v>1</v>
      </c>
      <c r="Q237">
        <v>2</v>
      </c>
      <c r="R237" t="s">
        <v>41</v>
      </c>
      <c r="S237" t="s">
        <v>79</v>
      </c>
      <c r="T237">
        <v>16</v>
      </c>
      <c r="U237">
        <v>464978329</v>
      </c>
      <c r="V237" t="s">
        <v>35</v>
      </c>
      <c r="W237" s="1">
        <v>44437</v>
      </c>
      <c r="X237" s="1">
        <v>44446</v>
      </c>
      <c r="Y237" s="5">
        <f>IF(Table1[[#This Row],[NPA_Flag]]=1, Table1[[#This Row],[Outstanding_Amount]], 0)</f>
        <v>0</v>
      </c>
      <c r="Z237" s="1">
        <v>46053</v>
      </c>
    </row>
    <row r="238" spans="1:26" x14ac:dyDescent="0.25">
      <c r="A238" t="s">
        <v>438</v>
      </c>
      <c r="B238" t="s">
        <v>67</v>
      </c>
      <c r="C238" t="s">
        <v>27</v>
      </c>
      <c r="D238" t="s">
        <v>52</v>
      </c>
      <c r="E238" t="s">
        <v>82</v>
      </c>
      <c r="F238" t="s">
        <v>68</v>
      </c>
      <c r="G238">
        <v>14491042</v>
      </c>
      <c r="H238">
        <v>10581613</v>
      </c>
      <c r="I238">
        <v>3909429</v>
      </c>
      <c r="J238">
        <v>0.73</v>
      </c>
      <c r="K238">
        <v>13.12</v>
      </c>
      <c r="L238">
        <v>8</v>
      </c>
      <c r="M238" t="s">
        <v>31</v>
      </c>
      <c r="N238">
        <v>0</v>
      </c>
      <c r="O238" t="s">
        <v>32</v>
      </c>
      <c r="P238">
        <v>0</v>
      </c>
      <c r="Q238">
        <v>2</v>
      </c>
      <c r="R238" t="s">
        <v>41</v>
      </c>
      <c r="S238" t="s">
        <v>57</v>
      </c>
      <c r="T238">
        <v>10</v>
      </c>
      <c r="U238">
        <v>38644608</v>
      </c>
      <c r="V238" t="s">
        <v>35</v>
      </c>
      <c r="W238" s="1">
        <v>45022</v>
      </c>
      <c r="X238" s="1">
        <v>45026</v>
      </c>
      <c r="Y238" s="5">
        <f>IF(Table1[[#This Row],[NPA_Flag]]=1, Table1[[#This Row],[Outstanding_Amount]], 0)</f>
        <v>0</v>
      </c>
      <c r="Z238" s="1">
        <v>46053</v>
      </c>
    </row>
    <row r="239" spans="1:26" x14ac:dyDescent="0.25">
      <c r="A239" t="s">
        <v>439</v>
      </c>
      <c r="B239" t="s">
        <v>440</v>
      </c>
      <c r="C239" t="s">
        <v>38</v>
      </c>
      <c r="D239" t="s">
        <v>39</v>
      </c>
      <c r="E239" t="s">
        <v>40</v>
      </c>
      <c r="F239" t="s">
        <v>30</v>
      </c>
      <c r="G239">
        <v>5598235</v>
      </c>
      <c r="H239">
        <v>3693856</v>
      </c>
      <c r="I239">
        <v>1904379</v>
      </c>
      <c r="J239">
        <v>0.66</v>
      </c>
      <c r="K239">
        <v>10.59</v>
      </c>
      <c r="L239">
        <v>31</v>
      </c>
      <c r="M239" t="s">
        <v>55</v>
      </c>
      <c r="N239">
        <v>0</v>
      </c>
      <c r="O239" t="s">
        <v>56</v>
      </c>
      <c r="P239">
        <v>0</v>
      </c>
      <c r="Q239">
        <v>3</v>
      </c>
      <c r="R239" t="s">
        <v>91</v>
      </c>
      <c r="S239" t="s">
        <v>64</v>
      </c>
      <c r="T239">
        <v>8</v>
      </c>
      <c r="U239">
        <v>116047722</v>
      </c>
      <c r="V239" t="s">
        <v>65</v>
      </c>
      <c r="W239" s="1">
        <v>43873</v>
      </c>
      <c r="X239" s="1">
        <v>43879</v>
      </c>
      <c r="Y239" s="5">
        <f>IF(Table1[[#This Row],[NPA_Flag]]=1, Table1[[#This Row],[Outstanding_Amount]], 0)</f>
        <v>0</v>
      </c>
      <c r="Z239" s="1">
        <v>46053</v>
      </c>
    </row>
    <row r="240" spans="1:26" x14ac:dyDescent="0.25">
      <c r="A240" t="s">
        <v>441</v>
      </c>
      <c r="B240" t="s">
        <v>385</v>
      </c>
      <c r="C240" t="s">
        <v>27</v>
      </c>
      <c r="D240" t="s">
        <v>61</v>
      </c>
      <c r="E240" t="s">
        <v>82</v>
      </c>
      <c r="F240" t="s">
        <v>46</v>
      </c>
      <c r="G240">
        <v>12631029</v>
      </c>
      <c r="H240">
        <v>9757829</v>
      </c>
      <c r="I240">
        <v>2873200</v>
      </c>
      <c r="J240">
        <v>0.77</v>
      </c>
      <c r="K240">
        <v>10.42</v>
      </c>
      <c r="L240">
        <v>88</v>
      </c>
      <c r="M240" t="s">
        <v>90</v>
      </c>
      <c r="N240">
        <v>0</v>
      </c>
      <c r="O240" t="s">
        <v>70</v>
      </c>
      <c r="P240">
        <v>1</v>
      </c>
      <c r="Q240">
        <v>3</v>
      </c>
      <c r="R240" t="s">
        <v>41</v>
      </c>
      <c r="S240" t="s">
        <v>34</v>
      </c>
      <c r="T240">
        <v>9</v>
      </c>
      <c r="U240">
        <v>146810920</v>
      </c>
      <c r="V240" t="s">
        <v>58</v>
      </c>
      <c r="W240" s="1">
        <v>44261</v>
      </c>
      <c r="X240" s="1">
        <v>44266</v>
      </c>
      <c r="Y240" s="5">
        <f>IF(Table1[[#This Row],[NPA_Flag]]=1, Table1[[#This Row],[Outstanding_Amount]], 0)</f>
        <v>0</v>
      </c>
      <c r="Z240" s="1">
        <v>46053</v>
      </c>
    </row>
    <row r="241" spans="1:26" x14ac:dyDescent="0.25">
      <c r="A241" t="s">
        <v>442</v>
      </c>
      <c r="B241" t="s">
        <v>248</v>
      </c>
      <c r="C241" t="s">
        <v>78</v>
      </c>
      <c r="D241" t="s">
        <v>61</v>
      </c>
      <c r="E241" t="s">
        <v>102</v>
      </c>
      <c r="F241" t="s">
        <v>30</v>
      </c>
      <c r="G241">
        <v>8415295</v>
      </c>
      <c r="H241">
        <v>6095890</v>
      </c>
      <c r="I241">
        <v>2319405</v>
      </c>
      <c r="J241">
        <v>0.72</v>
      </c>
      <c r="K241">
        <v>9.52</v>
      </c>
      <c r="L241">
        <v>28</v>
      </c>
      <c r="M241" t="s">
        <v>31</v>
      </c>
      <c r="N241">
        <v>0</v>
      </c>
      <c r="O241" t="s">
        <v>32</v>
      </c>
      <c r="P241">
        <v>0</v>
      </c>
      <c r="Q241">
        <v>3</v>
      </c>
      <c r="R241" t="s">
        <v>91</v>
      </c>
      <c r="S241" t="s">
        <v>64</v>
      </c>
      <c r="T241">
        <v>10</v>
      </c>
      <c r="U241">
        <v>474181930</v>
      </c>
      <c r="V241" t="s">
        <v>65</v>
      </c>
      <c r="W241" s="1">
        <v>44628</v>
      </c>
      <c r="X241" s="1">
        <v>44631</v>
      </c>
      <c r="Y241" s="5">
        <f>IF(Table1[[#This Row],[NPA_Flag]]=1, Table1[[#This Row],[Outstanding_Amount]], 0)</f>
        <v>0</v>
      </c>
      <c r="Z241" s="1">
        <v>46053</v>
      </c>
    </row>
    <row r="242" spans="1:26" x14ac:dyDescent="0.25">
      <c r="A242" t="s">
        <v>443</v>
      </c>
      <c r="B242" t="s">
        <v>114</v>
      </c>
      <c r="C242" t="s">
        <v>78</v>
      </c>
      <c r="D242" t="s">
        <v>28</v>
      </c>
      <c r="E242" t="s">
        <v>102</v>
      </c>
      <c r="F242" t="s">
        <v>46</v>
      </c>
      <c r="G242">
        <v>11797256</v>
      </c>
      <c r="H242">
        <v>10471275</v>
      </c>
      <c r="I242">
        <v>1325981</v>
      </c>
      <c r="J242">
        <v>0.89</v>
      </c>
      <c r="K242">
        <v>9.43</v>
      </c>
      <c r="L242">
        <v>0</v>
      </c>
      <c r="M242" t="s">
        <v>31</v>
      </c>
      <c r="N242">
        <v>0</v>
      </c>
      <c r="O242" t="s">
        <v>32</v>
      </c>
      <c r="P242">
        <v>1</v>
      </c>
      <c r="Q242">
        <v>1</v>
      </c>
      <c r="R242" t="s">
        <v>41</v>
      </c>
      <c r="S242" t="s">
        <v>34</v>
      </c>
      <c r="T242">
        <v>21</v>
      </c>
      <c r="U242">
        <v>350864982</v>
      </c>
      <c r="V242" t="s">
        <v>58</v>
      </c>
      <c r="W242" s="1">
        <v>44661</v>
      </c>
      <c r="X242" s="1">
        <v>44662</v>
      </c>
      <c r="Y242" s="5">
        <f>IF(Table1[[#This Row],[NPA_Flag]]=1, Table1[[#This Row],[Outstanding_Amount]], 0)</f>
        <v>0</v>
      </c>
      <c r="Z242" s="1">
        <v>46053</v>
      </c>
    </row>
    <row r="243" spans="1:26" x14ac:dyDescent="0.25">
      <c r="A243" t="s">
        <v>444</v>
      </c>
      <c r="B243" t="s">
        <v>445</v>
      </c>
      <c r="C243" t="s">
        <v>78</v>
      </c>
      <c r="D243" t="s">
        <v>61</v>
      </c>
      <c r="E243" t="s">
        <v>94</v>
      </c>
      <c r="F243" t="s">
        <v>54</v>
      </c>
      <c r="G243">
        <v>9707091</v>
      </c>
      <c r="H243">
        <v>8699274</v>
      </c>
      <c r="I243">
        <v>1007817</v>
      </c>
      <c r="J243">
        <v>0.9</v>
      </c>
      <c r="K243">
        <v>13.2</v>
      </c>
      <c r="L243">
        <v>54</v>
      </c>
      <c r="M243" t="s">
        <v>55</v>
      </c>
      <c r="N243">
        <v>0</v>
      </c>
      <c r="O243" t="s">
        <v>56</v>
      </c>
      <c r="P243">
        <v>0</v>
      </c>
      <c r="Q243">
        <v>0</v>
      </c>
      <c r="R243" t="s">
        <v>41</v>
      </c>
      <c r="S243" t="s">
        <v>79</v>
      </c>
      <c r="T243">
        <v>5</v>
      </c>
      <c r="U243">
        <v>499053837</v>
      </c>
      <c r="V243" t="s">
        <v>49</v>
      </c>
      <c r="W243" s="1">
        <v>44568</v>
      </c>
      <c r="X243" s="1">
        <v>44572</v>
      </c>
      <c r="Y243" s="5">
        <f>IF(Table1[[#This Row],[NPA_Flag]]=1, Table1[[#This Row],[Outstanding_Amount]], 0)</f>
        <v>0</v>
      </c>
      <c r="Z243" s="1">
        <v>46053</v>
      </c>
    </row>
    <row r="244" spans="1:26" x14ac:dyDescent="0.25">
      <c r="A244" t="s">
        <v>446</v>
      </c>
      <c r="B244" t="s">
        <v>96</v>
      </c>
      <c r="C244" t="s">
        <v>27</v>
      </c>
      <c r="D244" t="s">
        <v>61</v>
      </c>
      <c r="E244" t="s">
        <v>73</v>
      </c>
      <c r="F244" t="s">
        <v>54</v>
      </c>
      <c r="G244">
        <v>13693510</v>
      </c>
      <c r="H244">
        <v>9302039</v>
      </c>
      <c r="I244">
        <v>4391471</v>
      </c>
      <c r="J244">
        <v>0.68</v>
      </c>
      <c r="K244">
        <v>10.29</v>
      </c>
      <c r="L244">
        <v>23</v>
      </c>
      <c r="M244" t="s">
        <v>31</v>
      </c>
      <c r="N244">
        <v>0</v>
      </c>
      <c r="O244" t="s">
        <v>32</v>
      </c>
      <c r="P244">
        <v>1</v>
      </c>
      <c r="Q244">
        <v>5</v>
      </c>
      <c r="R244" t="s">
        <v>33</v>
      </c>
      <c r="S244" t="s">
        <v>79</v>
      </c>
      <c r="T244">
        <v>8</v>
      </c>
      <c r="U244">
        <v>367227857</v>
      </c>
      <c r="V244" t="s">
        <v>35</v>
      </c>
      <c r="W244" s="1">
        <v>45135</v>
      </c>
      <c r="X244" s="1">
        <v>45138</v>
      </c>
      <c r="Y244" s="5">
        <f>IF(Table1[[#This Row],[NPA_Flag]]=1, Table1[[#This Row],[Outstanding_Amount]], 0)</f>
        <v>0</v>
      </c>
      <c r="Z244" s="1">
        <v>46053</v>
      </c>
    </row>
    <row r="245" spans="1:26" x14ac:dyDescent="0.25">
      <c r="A245" t="s">
        <v>447</v>
      </c>
      <c r="B245" t="s">
        <v>448</v>
      </c>
      <c r="C245" t="s">
        <v>78</v>
      </c>
      <c r="D245" t="s">
        <v>52</v>
      </c>
      <c r="E245" t="s">
        <v>94</v>
      </c>
      <c r="F245" t="s">
        <v>46</v>
      </c>
      <c r="G245">
        <v>9892063</v>
      </c>
      <c r="H245">
        <v>8719133</v>
      </c>
      <c r="I245">
        <v>1172930</v>
      </c>
      <c r="J245">
        <v>0.88</v>
      </c>
      <c r="K245">
        <v>11.09</v>
      </c>
      <c r="L245">
        <v>19</v>
      </c>
      <c r="M245" t="s">
        <v>31</v>
      </c>
      <c r="N245">
        <v>0</v>
      </c>
      <c r="O245" t="s">
        <v>32</v>
      </c>
      <c r="P245">
        <v>1</v>
      </c>
      <c r="Q245">
        <v>1</v>
      </c>
      <c r="R245" t="s">
        <v>41</v>
      </c>
      <c r="S245" t="s">
        <v>64</v>
      </c>
      <c r="T245">
        <v>15</v>
      </c>
      <c r="U245">
        <v>406636554</v>
      </c>
      <c r="V245" t="s">
        <v>65</v>
      </c>
      <c r="W245" s="1">
        <v>44972</v>
      </c>
      <c r="X245" s="1">
        <v>44974</v>
      </c>
      <c r="Y245" s="5">
        <f>IF(Table1[[#This Row],[NPA_Flag]]=1, Table1[[#This Row],[Outstanding_Amount]], 0)</f>
        <v>0</v>
      </c>
      <c r="Z245" s="1">
        <v>46053</v>
      </c>
    </row>
    <row r="246" spans="1:26" x14ac:dyDescent="0.25">
      <c r="A246" t="s">
        <v>449</v>
      </c>
      <c r="B246" t="s">
        <v>84</v>
      </c>
      <c r="C246" t="s">
        <v>27</v>
      </c>
      <c r="D246" t="s">
        <v>52</v>
      </c>
      <c r="E246" t="s">
        <v>53</v>
      </c>
      <c r="F246" t="s">
        <v>54</v>
      </c>
      <c r="G246">
        <v>11413440</v>
      </c>
      <c r="H246">
        <v>7141132</v>
      </c>
      <c r="I246">
        <v>4272308</v>
      </c>
      <c r="J246">
        <v>0.63</v>
      </c>
      <c r="K246">
        <v>11.72</v>
      </c>
      <c r="L246">
        <v>39</v>
      </c>
      <c r="M246" t="s">
        <v>55</v>
      </c>
      <c r="N246">
        <v>0</v>
      </c>
      <c r="O246" t="s">
        <v>56</v>
      </c>
      <c r="P246">
        <v>1</v>
      </c>
      <c r="Q246">
        <v>3</v>
      </c>
      <c r="R246" t="s">
        <v>41</v>
      </c>
      <c r="S246" t="s">
        <v>57</v>
      </c>
      <c r="T246">
        <v>16</v>
      </c>
      <c r="U246">
        <v>100954398</v>
      </c>
      <c r="V246" t="s">
        <v>49</v>
      </c>
      <c r="W246" s="1">
        <v>43838</v>
      </c>
      <c r="X246" s="1">
        <v>43843</v>
      </c>
      <c r="Y246" s="5">
        <f>IF(Table1[[#This Row],[NPA_Flag]]=1, Table1[[#This Row],[Outstanding_Amount]], 0)</f>
        <v>0</v>
      </c>
      <c r="Z246" s="1">
        <v>46053</v>
      </c>
    </row>
    <row r="247" spans="1:26" x14ac:dyDescent="0.25">
      <c r="A247" t="s">
        <v>450</v>
      </c>
      <c r="B247" t="s">
        <v>451</v>
      </c>
      <c r="C247" t="s">
        <v>27</v>
      </c>
      <c r="D247" t="s">
        <v>52</v>
      </c>
      <c r="E247" t="s">
        <v>85</v>
      </c>
      <c r="F247" t="s">
        <v>54</v>
      </c>
      <c r="G247">
        <v>12699890</v>
      </c>
      <c r="H247">
        <v>9111668</v>
      </c>
      <c r="I247">
        <v>3588222</v>
      </c>
      <c r="J247">
        <v>0.72</v>
      </c>
      <c r="K247">
        <v>9.94</v>
      </c>
      <c r="L247">
        <v>19</v>
      </c>
      <c r="M247" t="s">
        <v>31</v>
      </c>
      <c r="N247">
        <v>0</v>
      </c>
      <c r="O247" t="s">
        <v>32</v>
      </c>
      <c r="P247">
        <v>1</v>
      </c>
      <c r="Q247">
        <v>3</v>
      </c>
      <c r="R247" t="s">
        <v>41</v>
      </c>
      <c r="S247" t="s">
        <v>34</v>
      </c>
      <c r="T247">
        <v>16</v>
      </c>
      <c r="U247">
        <v>469494714</v>
      </c>
      <c r="V247" t="s">
        <v>35</v>
      </c>
      <c r="W247" s="1">
        <v>44241</v>
      </c>
      <c r="X247" s="1">
        <v>44249</v>
      </c>
      <c r="Y247" s="5">
        <f>IF(Table1[[#This Row],[NPA_Flag]]=1, Table1[[#This Row],[Outstanding_Amount]], 0)</f>
        <v>0</v>
      </c>
      <c r="Z247" s="1">
        <v>46053</v>
      </c>
    </row>
    <row r="248" spans="1:26" x14ac:dyDescent="0.25">
      <c r="A248" t="s">
        <v>452</v>
      </c>
      <c r="B248" t="s">
        <v>145</v>
      </c>
      <c r="C248" t="s">
        <v>78</v>
      </c>
      <c r="D248" t="s">
        <v>39</v>
      </c>
      <c r="E248" t="s">
        <v>97</v>
      </c>
      <c r="F248" t="s">
        <v>30</v>
      </c>
      <c r="G248">
        <v>11252542</v>
      </c>
      <c r="H248">
        <v>9298173</v>
      </c>
      <c r="I248">
        <v>1954369</v>
      </c>
      <c r="J248">
        <v>0.83</v>
      </c>
      <c r="K248">
        <v>12.45</v>
      </c>
      <c r="L248">
        <v>12</v>
      </c>
      <c r="M248" t="s">
        <v>31</v>
      </c>
      <c r="N248">
        <v>0</v>
      </c>
      <c r="O248" t="s">
        <v>32</v>
      </c>
      <c r="P248">
        <v>1</v>
      </c>
      <c r="Q248">
        <v>0</v>
      </c>
      <c r="R248" t="s">
        <v>33</v>
      </c>
      <c r="S248" t="s">
        <v>79</v>
      </c>
      <c r="T248">
        <v>23</v>
      </c>
      <c r="U248">
        <v>191522054</v>
      </c>
      <c r="V248" t="s">
        <v>49</v>
      </c>
      <c r="W248" s="1">
        <v>43927</v>
      </c>
      <c r="X248" s="1">
        <v>43932</v>
      </c>
      <c r="Y248" s="5">
        <f>IF(Table1[[#This Row],[NPA_Flag]]=1, Table1[[#This Row],[Outstanding_Amount]], 0)</f>
        <v>0</v>
      </c>
      <c r="Z248" s="1">
        <v>46053</v>
      </c>
    </row>
    <row r="249" spans="1:26" x14ac:dyDescent="0.25">
      <c r="A249" t="s">
        <v>453</v>
      </c>
      <c r="B249" t="s">
        <v>117</v>
      </c>
      <c r="C249" t="s">
        <v>78</v>
      </c>
      <c r="D249" t="s">
        <v>52</v>
      </c>
      <c r="E249" t="s">
        <v>29</v>
      </c>
      <c r="F249" t="s">
        <v>46</v>
      </c>
      <c r="G249">
        <v>8285995</v>
      </c>
      <c r="H249">
        <v>6041191</v>
      </c>
      <c r="I249">
        <v>2244804</v>
      </c>
      <c r="J249">
        <v>0.73</v>
      </c>
      <c r="K249">
        <v>13.92</v>
      </c>
      <c r="L249">
        <v>27</v>
      </c>
      <c r="M249" t="s">
        <v>31</v>
      </c>
      <c r="N249">
        <v>0</v>
      </c>
      <c r="O249" t="s">
        <v>32</v>
      </c>
      <c r="P249">
        <v>0</v>
      </c>
      <c r="Q249">
        <v>0</v>
      </c>
      <c r="R249" t="s">
        <v>41</v>
      </c>
      <c r="S249" t="s">
        <v>57</v>
      </c>
      <c r="T249">
        <v>20</v>
      </c>
      <c r="U249">
        <v>334608563</v>
      </c>
      <c r="V249" t="s">
        <v>58</v>
      </c>
      <c r="W249" s="1">
        <v>43945</v>
      </c>
      <c r="X249" s="1">
        <v>43953</v>
      </c>
      <c r="Y249" s="5">
        <f>IF(Table1[[#This Row],[NPA_Flag]]=1, Table1[[#This Row],[Outstanding_Amount]], 0)</f>
        <v>0</v>
      </c>
      <c r="Z249" s="1">
        <v>46053</v>
      </c>
    </row>
    <row r="250" spans="1:26" x14ac:dyDescent="0.25">
      <c r="A250" t="s">
        <v>454</v>
      </c>
      <c r="B250" t="s">
        <v>455</v>
      </c>
      <c r="C250" t="s">
        <v>38</v>
      </c>
      <c r="D250" t="s">
        <v>52</v>
      </c>
      <c r="E250" t="s">
        <v>73</v>
      </c>
      <c r="F250" t="s">
        <v>68</v>
      </c>
      <c r="G250">
        <v>4782949</v>
      </c>
      <c r="H250">
        <v>4357665</v>
      </c>
      <c r="I250">
        <v>425284</v>
      </c>
      <c r="J250">
        <v>0.91</v>
      </c>
      <c r="K250">
        <v>12.28</v>
      </c>
      <c r="L250">
        <v>26</v>
      </c>
      <c r="M250" t="s">
        <v>31</v>
      </c>
      <c r="N250">
        <v>0</v>
      </c>
      <c r="O250" t="s">
        <v>32</v>
      </c>
      <c r="P250">
        <v>0</v>
      </c>
      <c r="Q250">
        <v>0</v>
      </c>
      <c r="R250" t="s">
        <v>91</v>
      </c>
      <c r="S250" t="s">
        <v>79</v>
      </c>
      <c r="T250">
        <v>9</v>
      </c>
      <c r="U250">
        <v>480768368</v>
      </c>
      <c r="V250" t="s">
        <v>35</v>
      </c>
      <c r="W250" s="1">
        <v>43909</v>
      </c>
      <c r="X250" s="1">
        <v>43914</v>
      </c>
      <c r="Y250" s="5">
        <f>IF(Table1[[#This Row],[NPA_Flag]]=1, Table1[[#This Row],[Outstanding_Amount]], 0)</f>
        <v>0</v>
      </c>
      <c r="Z250" s="1">
        <v>46053</v>
      </c>
    </row>
    <row r="251" spans="1:26" x14ac:dyDescent="0.25">
      <c r="A251" t="s">
        <v>456</v>
      </c>
      <c r="B251" t="s">
        <v>153</v>
      </c>
      <c r="C251" t="s">
        <v>78</v>
      </c>
      <c r="D251" t="s">
        <v>28</v>
      </c>
      <c r="E251" t="s">
        <v>53</v>
      </c>
      <c r="F251" t="s">
        <v>68</v>
      </c>
      <c r="G251">
        <v>8170495</v>
      </c>
      <c r="H251">
        <v>7538818</v>
      </c>
      <c r="I251">
        <v>631677</v>
      </c>
      <c r="J251">
        <v>0.92</v>
      </c>
      <c r="K251">
        <v>11.75</v>
      </c>
      <c r="L251">
        <v>24</v>
      </c>
      <c r="M251" t="s">
        <v>31</v>
      </c>
      <c r="N251">
        <v>0</v>
      </c>
      <c r="O251" t="s">
        <v>32</v>
      </c>
      <c r="P251">
        <v>0</v>
      </c>
      <c r="Q251">
        <v>1</v>
      </c>
      <c r="R251" t="s">
        <v>33</v>
      </c>
      <c r="S251" t="s">
        <v>48</v>
      </c>
      <c r="T251">
        <v>23</v>
      </c>
      <c r="U251">
        <v>395119295</v>
      </c>
      <c r="V251" t="s">
        <v>35</v>
      </c>
      <c r="W251" s="1">
        <v>45018</v>
      </c>
      <c r="X251" s="1">
        <v>45023</v>
      </c>
      <c r="Y251" s="5">
        <f>IF(Table1[[#This Row],[NPA_Flag]]=1, Table1[[#This Row],[Outstanding_Amount]], 0)</f>
        <v>0</v>
      </c>
      <c r="Z251" s="1">
        <v>46053</v>
      </c>
    </row>
    <row r="252" spans="1:26" x14ac:dyDescent="0.25">
      <c r="A252" t="s">
        <v>457</v>
      </c>
      <c r="B252" t="s">
        <v>300</v>
      </c>
      <c r="C252" t="s">
        <v>38</v>
      </c>
      <c r="D252" t="s">
        <v>52</v>
      </c>
      <c r="E252" t="s">
        <v>85</v>
      </c>
      <c r="F252" t="s">
        <v>30</v>
      </c>
      <c r="G252">
        <v>14262788</v>
      </c>
      <c r="H252">
        <v>13458128</v>
      </c>
      <c r="I252">
        <v>804660</v>
      </c>
      <c r="J252">
        <v>0.94</v>
      </c>
      <c r="K252">
        <v>13.38</v>
      </c>
      <c r="L252">
        <v>13</v>
      </c>
      <c r="M252" t="s">
        <v>31</v>
      </c>
      <c r="N252">
        <v>0</v>
      </c>
      <c r="O252" t="s">
        <v>32</v>
      </c>
      <c r="P252">
        <v>0</v>
      </c>
      <c r="Q252">
        <v>4</v>
      </c>
      <c r="R252" t="s">
        <v>41</v>
      </c>
      <c r="S252" t="s">
        <v>79</v>
      </c>
      <c r="T252">
        <v>12</v>
      </c>
      <c r="U252">
        <v>82927922</v>
      </c>
      <c r="V252" t="s">
        <v>65</v>
      </c>
      <c r="W252" s="1">
        <v>43925</v>
      </c>
      <c r="X252" s="1">
        <v>43927</v>
      </c>
      <c r="Y252" s="5">
        <f>IF(Table1[[#This Row],[NPA_Flag]]=1, Table1[[#This Row],[Outstanding_Amount]], 0)</f>
        <v>0</v>
      </c>
      <c r="Z252" s="1">
        <v>46053</v>
      </c>
    </row>
    <row r="253" spans="1:26" x14ac:dyDescent="0.25">
      <c r="A253" t="s">
        <v>458</v>
      </c>
      <c r="B253" t="s">
        <v>459</v>
      </c>
      <c r="C253" t="s">
        <v>27</v>
      </c>
      <c r="D253" t="s">
        <v>28</v>
      </c>
      <c r="E253" t="s">
        <v>94</v>
      </c>
      <c r="F253" t="s">
        <v>46</v>
      </c>
      <c r="G253">
        <v>11512777</v>
      </c>
      <c r="H253">
        <v>8598089</v>
      </c>
      <c r="I253">
        <v>2914688</v>
      </c>
      <c r="J253">
        <v>0.75</v>
      </c>
      <c r="K253">
        <v>13.88</v>
      </c>
      <c r="L253">
        <v>12</v>
      </c>
      <c r="M253" t="s">
        <v>31</v>
      </c>
      <c r="N253">
        <v>0</v>
      </c>
      <c r="O253" t="s">
        <v>32</v>
      </c>
      <c r="P253">
        <v>1</v>
      </c>
      <c r="Q253">
        <v>5</v>
      </c>
      <c r="R253" t="s">
        <v>33</v>
      </c>
      <c r="S253" t="s">
        <v>48</v>
      </c>
      <c r="T253">
        <v>7</v>
      </c>
      <c r="U253">
        <v>175536978</v>
      </c>
      <c r="V253" t="s">
        <v>65</v>
      </c>
      <c r="W253" s="1">
        <v>44431</v>
      </c>
      <c r="X253" s="1">
        <v>44434</v>
      </c>
      <c r="Y253" s="5">
        <f>IF(Table1[[#This Row],[NPA_Flag]]=1, Table1[[#This Row],[Outstanding_Amount]], 0)</f>
        <v>0</v>
      </c>
      <c r="Z253" s="1">
        <v>46053</v>
      </c>
    </row>
    <row r="254" spans="1:26" x14ac:dyDescent="0.25">
      <c r="A254" t="s">
        <v>460</v>
      </c>
      <c r="B254" t="s">
        <v>461</v>
      </c>
      <c r="C254" t="s">
        <v>38</v>
      </c>
      <c r="D254" t="s">
        <v>52</v>
      </c>
      <c r="E254" t="s">
        <v>53</v>
      </c>
      <c r="F254" t="s">
        <v>68</v>
      </c>
      <c r="G254">
        <v>14216757</v>
      </c>
      <c r="H254">
        <v>8878339</v>
      </c>
      <c r="I254">
        <v>5338418</v>
      </c>
      <c r="J254">
        <v>0.62</v>
      </c>
      <c r="K254">
        <v>9.02</v>
      </c>
      <c r="L254">
        <v>107</v>
      </c>
      <c r="M254" t="s">
        <v>69</v>
      </c>
      <c r="N254">
        <v>1</v>
      </c>
      <c r="O254" t="s">
        <v>70</v>
      </c>
      <c r="P254">
        <v>1</v>
      </c>
      <c r="Q254">
        <v>2</v>
      </c>
      <c r="R254" t="s">
        <v>33</v>
      </c>
      <c r="S254" t="s">
        <v>48</v>
      </c>
      <c r="T254">
        <v>2</v>
      </c>
      <c r="U254">
        <v>345257799</v>
      </c>
      <c r="V254" t="s">
        <v>65</v>
      </c>
      <c r="W254" s="1">
        <v>44075</v>
      </c>
      <c r="X254" s="1">
        <v>44080</v>
      </c>
      <c r="Y254" s="5">
        <f>IF(Table1[[#This Row],[NPA_Flag]]=1, Table1[[#This Row],[Outstanding_Amount]], 0)</f>
        <v>8878339</v>
      </c>
      <c r="Z254" s="1">
        <v>46053</v>
      </c>
    </row>
    <row r="255" spans="1:26" x14ac:dyDescent="0.25">
      <c r="A255" t="s">
        <v>462</v>
      </c>
      <c r="B255" t="s">
        <v>291</v>
      </c>
      <c r="C255" t="s">
        <v>78</v>
      </c>
      <c r="D255" t="s">
        <v>52</v>
      </c>
      <c r="E255" t="s">
        <v>97</v>
      </c>
      <c r="F255" t="s">
        <v>30</v>
      </c>
      <c r="G255">
        <v>14544020</v>
      </c>
      <c r="H255">
        <v>12195469</v>
      </c>
      <c r="I255">
        <v>2348551</v>
      </c>
      <c r="J255">
        <v>0.84</v>
      </c>
      <c r="K255">
        <v>13.98</v>
      </c>
      <c r="L255">
        <v>18</v>
      </c>
      <c r="M255" t="s">
        <v>31</v>
      </c>
      <c r="N255">
        <v>0</v>
      </c>
      <c r="O255" t="s">
        <v>32</v>
      </c>
      <c r="P255">
        <v>1</v>
      </c>
      <c r="Q255">
        <v>1</v>
      </c>
      <c r="R255" t="s">
        <v>91</v>
      </c>
      <c r="S255" t="s">
        <v>34</v>
      </c>
      <c r="T255">
        <v>17</v>
      </c>
      <c r="U255">
        <v>352818011</v>
      </c>
      <c r="V255" t="s">
        <v>58</v>
      </c>
      <c r="W255" s="1">
        <v>44406</v>
      </c>
      <c r="X255" s="1">
        <v>44407</v>
      </c>
      <c r="Y255" s="5">
        <f>IF(Table1[[#This Row],[NPA_Flag]]=1, Table1[[#This Row],[Outstanding_Amount]], 0)</f>
        <v>0</v>
      </c>
      <c r="Z255" s="1">
        <v>46053</v>
      </c>
    </row>
    <row r="256" spans="1:26" x14ac:dyDescent="0.25">
      <c r="A256" t="s">
        <v>463</v>
      </c>
      <c r="B256" t="s">
        <v>464</v>
      </c>
      <c r="C256" t="s">
        <v>38</v>
      </c>
      <c r="D256" t="s">
        <v>61</v>
      </c>
      <c r="E256" t="s">
        <v>97</v>
      </c>
      <c r="F256" t="s">
        <v>46</v>
      </c>
      <c r="G256">
        <v>11145402</v>
      </c>
      <c r="H256">
        <v>9133878</v>
      </c>
      <c r="I256">
        <v>2011524</v>
      </c>
      <c r="J256">
        <v>0.82</v>
      </c>
      <c r="K256">
        <v>11.12</v>
      </c>
      <c r="L256">
        <v>102</v>
      </c>
      <c r="M256" t="s">
        <v>69</v>
      </c>
      <c r="N256">
        <v>1</v>
      </c>
      <c r="O256" t="s">
        <v>70</v>
      </c>
      <c r="P256">
        <v>1</v>
      </c>
      <c r="Q256">
        <v>3</v>
      </c>
      <c r="R256" t="s">
        <v>47</v>
      </c>
      <c r="S256" t="s">
        <v>64</v>
      </c>
      <c r="T256">
        <v>2</v>
      </c>
      <c r="U256">
        <v>92002812</v>
      </c>
      <c r="V256" t="s">
        <v>65</v>
      </c>
      <c r="W256" s="1">
        <v>44426</v>
      </c>
      <c r="X256" s="1">
        <v>44428</v>
      </c>
      <c r="Y256" s="5">
        <f>IF(Table1[[#This Row],[NPA_Flag]]=1, Table1[[#This Row],[Outstanding_Amount]], 0)</f>
        <v>9133878</v>
      </c>
      <c r="Z256" s="1">
        <v>46053</v>
      </c>
    </row>
    <row r="257" spans="1:26" x14ac:dyDescent="0.25">
      <c r="A257" t="s">
        <v>465</v>
      </c>
      <c r="B257" t="s">
        <v>121</v>
      </c>
      <c r="C257" t="s">
        <v>78</v>
      </c>
      <c r="D257" t="s">
        <v>28</v>
      </c>
      <c r="E257" t="s">
        <v>45</v>
      </c>
      <c r="F257" t="s">
        <v>54</v>
      </c>
      <c r="G257">
        <v>2502724</v>
      </c>
      <c r="H257">
        <v>1670353</v>
      </c>
      <c r="I257">
        <v>832371</v>
      </c>
      <c r="J257">
        <v>0.67</v>
      </c>
      <c r="K257">
        <v>13.69</v>
      </c>
      <c r="L257">
        <v>24</v>
      </c>
      <c r="M257" t="s">
        <v>31</v>
      </c>
      <c r="N257">
        <v>0</v>
      </c>
      <c r="O257" t="s">
        <v>32</v>
      </c>
      <c r="P257">
        <v>1</v>
      </c>
      <c r="Q257">
        <v>0</v>
      </c>
      <c r="R257" t="s">
        <v>91</v>
      </c>
      <c r="S257" t="s">
        <v>79</v>
      </c>
      <c r="T257">
        <v>9</v>
      </c>
      <c r="U257">
        <v>180224725</v>
      </c>
      <c r="V257" t="s">
        <v>65</v>
      </c>
      <c r="W257" s="1">
        <v>44196</v>
      </c>
      <c r="X257" s="1">
        <v>44201</v>
      </c>
      <c r="Y257" s="5">
        <f>IF(Table1[[#This Row],[NPA_Flag]]=1, Table1[[#This Row],[Outstanding_Amount]], 0)</f>
        <v>0</v>
      </c>
      <c r="Z257" s="1">
        <v>46053</v>
      </c>
    </row>
    <row r="258" spans="1:26" x14ac:dyDescent="0.25">
      <c r="A258" t="s">
        <v>466</v>
      </c>
      <c r="B258" t="s">
        <v>315</v>
      </c>
      <c r="C258" t="s">
        <v>78</v>
      </c>
      <c r="D258" t="s">
        <v>28</v>
      </c>
      <c r="E258" t="s">
        <v>53</v>
      </c>
      <c r="F258" t="s">
        <v>30</v>
      </c>
      <c r="G258">
        <v>13616851</v>
      </c>
      <c r="H258">
        <v>9728095</v>
      </c>
      <c r="I258">
        <v>3888756</v>
      </c>
      <c r="J258">
        <v>0.71</v>
      </c>
      <c r="K258">
        <v>11.47</v>
      </c>
      <c r="L258">
        <v>8</v>
      </c>
      <c r="M258" t="s">
        <v>31</v>
      </c>
      <c r="N258">
        <v>0</v>
      </c>
      <c r="O258" t="s">
        <v>32</v>
      </c>
      <c r="P258">
        <v>1</v>
      </c>
      <c r="Q258">
        <v>5</v>
      </c>
      <c r="R258" t="s">
        <v>41</v>
      </c>
      <c r="S258" t="s">
        <v>34</v>
      </c>
      <c r="T258">
        <v>24</v>
      </c>
      <c r="U258">
        <v>275902070</v>
      </c>
      <c r="V258" t="s">
        <v>65</v>
      </c>
      <c r="W258" s="1">
        <v>45049</v>
      </c>
      <c r="X258" s="1">
        <v>45059</v>
      </c>
      <c r="Y258" s="5">
        <f>IF(Table1[[#This Row],[NPA_Flag]]=1, Table1[[#This Row],[Outstanding_Amount]], 0)</f>
        <v>0</v>
      </c>
      <c r="Z258" s="1">
        <v>46053</v>
      </c>
    </row>
    <row r="259" spans="1:26" x14ac:dyDescent="0.25">
      <c r="A259" t="s">
        <v>467</v>
      </c>
      <c r="B259" t="s">
        <v>468</v>
      </c>
      <c r="C259" t="s">
        <v>38</v>
      </c>
      <c r="D259" t="s">
        <v>28</v>
      </c>
      <c r="E259" t="s">
        <v>102</v>
      </c>
      <c r="F259" t="s">
        <v>54</v>
      </c>
      <c r="G259">
        <v>14155720</v>
      </c>
      <c r="H259">
        <v>12710230</v>
      </c>
      <c r="I259">
        <v>1445490</v>
      </c>
      <c r="J259">
        <v>0.9</v>
      </c>
      <c r="K259">
        <v>9.5</v>
      </c>
      <c r="L259">
        <v>62</v>
      </c>
      <c r="M259" t="s">
        <v>90</v>
      </c>
      <c r="N259">
        <v>0</v>
      </c>
      <c r="O259" t="s">
        <v>70</v>
      </c>
      <c r="P259">
        <v>1</v>
      </c>
      <c r="Q259">
        <v>2</v>
      </c>
      <c r="R259" t="s">
        <v>47</v>
      </c>
      <c r="S259" t="s">
        <v>34</v>
      </c>
      <c r="T259">
        <v>5</v>
      </c>
      <c r="U259">
        <v>74225934</v>
      </c>
      <c r="V259" t="s">
        <v>35</v>
      </c>
      <c r="W259" s="1">
        <v>45322</v>
      </c>
      <c r="X259" s="1">
        <v>45331</v>
      </c>
      <c r="Y259" s="5">
        <f>IF(Table1[[#This Row],[NPA_Flag]]=1, Table1[[#This Row],[Outstanding_Amount]], 0)</f>
        <v>0</v>
      </c>
      <c r="Z259" s="1">
        <v>46053</v>
      </c>
    </row>
    <row r="260" spans="1:26" x14ac:dyDescent="0.25">
      <c r="A260" t="s">
        <v>469</v>
      </c>
      <c r="B260" t="s">
        <v>138</v>
      </c>
      <c r="C260" t="s">
        <v>27</v>
      </c>
      <c r="D260" t="s">
        <v>39</v>
      </c>
      <c r="E260" t="s">
        <v>73</v>
      </c>
      <c r="F260" t="s">
        <v>54</v>
      </c>
      <c r="G260">
        <v>12370304</v>
      </c>
      <c r="H260">
        <v>9043130</v>
      </c>
      <c r="I260">
        <v>3327174</v>
      </c>
      <c r="J260">
        <v>0.73</v>
      </c>
      <c r="K260">
        <v>12.09</v>
      </c>
      <c r="L260">
        <v>13</v>
      </c>
      <c r="M260" t="s">
        <v>31</v>
      </c>
      <c r="N260">
        <v>0</v>
      </c>
      <c r="O260" t="s">
        <v>32</v>
      </c>
      <c r="P260">
        <v>1</v>
      </c>
      <c r="Q260">
        <v>2</v>
      </c>
      <c r="R260" t="s">
        <v>41</v>
      </c>
      <c r="S260" t="s">
        <v>64</v>
      </c>
      <c r="T260">
        <v>2</v>
      </c>
      <c r="U260">
        <v>226488726</v>
      </c>
      <c r="V260" t="s">
        <v>35</v>
      </c>
      <c r="W260" s="1">
        <v>44330</v>
      </c>
      <c r="X260" s="1">
        <v>44331</v>
      </c>
      <c r="Y260" s="5">
        <f>IF(Table1[[#This Row],[NPA_Flag]]=1, Table1[[#This Row],[Outstanding_Amount]], 0)</f>
        <v>0</v>
      </c>
      <c r="Z260" s="1">
        <v>46053</v>
      </c>
    </row>
    <row r="261" spans="1:26" x14ac:dyDescent="0.25">
      <c r="A261" t="s">
        <v>470</v>
      </c>
      <c r="B261" t="s">
        <v>225</v>
      </c>
      <c r="C261" t="s">
        <v>78</v>
      </c>
      <c r="D261" t="s">
        <v>61</v>
      </c>
      <c r="E261" t="s">
        <v>29</v>
      </c>
      <c r="F261" t="s">
        <v>68</v>
      </c>
      <c r="G261">
        <v>8586046</v>
      </c>
      <c r="H261">
        <v>7727418</v>
      </c>
      <c r="I261">
        <v>858628</v>
      </c>
      <c r="J261">
        <v>0.9</v>
      </c>
      <c r="K261">
        <v>10.96</v>
      </c>
      <c r="L261">
        <v>15</v>
      </c>
      <c r="M261" t="s">
        <v>31</v>
      </c>
      <c r="N261">
        <v>0</v>
      </c>
      <c r="O261" t="s">
        <v>32</v>
      </c>
      <c r="P261">
        <v>0</v>
      </c>
      <c r="Q261">
        <v>3</v>
      </c>
      <c r="R261" t="s">
        <v>91</v>
      </c>
      <c r="S261" t="s">
        <v>48</v>
      </c>
      <c r="T261">
        <v>13</v>
      </c>
      <c r="U261">
        <v>389324304</v>
      </c>
      <c r="V261" t="s">
        <v>58</v>
      </c>
      <c r="W261" s="1">
        <v>44333</v>
      </c>
      <c r="X261" s="1">
        <v>44337</v>
      </c>
      <c r="Y261" s="5">
        <f>IF(Table1[[#This Row],[NPA_Flag]]=1, Table1[[#This Row],[Outstanding_Amount]], 0)</f>
        <v>0</v>
      </c>
      <c r="Z261" s="1">
        <v>46053</v>
      </c>
    </row>
    <row r="262" spans="1:26" x14ac:dyDescent="0.25">
      <c r="A262" t="s">
        <v>471</v>
      </c>
      <c r="B262" t="s">
        <v>93</v>
      </c>
      <c r="C262" t="s">
        <v>27</v>
      </c>
      <c r="D262" t="s">
        <v>39</v>
      </c>
      <c r="E262" t="s">
        <v>102</v>
      </c>
      <c r="F262" t="s">
        <v>68</v>
      </c>
      <c r="G262">
        <v>11882256</v>
      </c>
      <c r="H262">
        <v>8156617</v>
      </c>
      <c r="I262">
        <v>3725639</v>
      </c>
      <c r="J262">
        <v>0.69</v>
      </c>
      <c r="K262">
        <v>12.96</v>
      </c>
      <c r="L262">
        <v>20</v>
      </c>
      <c r="M262" t="s">
        <v>31</v>
      </c>
      <c r="N262">
        <v>0</v>
      </c>
      <c r="O262" t="s">
        <v>32</v>
      </c>
      <c r="P262">
        <v>1</v>
      </c>
      <c r="Q262">
        <v>5</v>
      </c>
      <c r="R262" t="s">
        <v>41</v>
      </c>
      <c r="S262" t="s">
        <v>57</v>
      </c>
      <c r="T262">
        <v>19</v>
      </c>
      <c r="U262">
        <v>353851017</v>
      </c>
      <c r="V262" t="s">
        <v>65</v>
      </c>
      <c r="W262" s="1">
        <v>44303</v>
      </c>
      <c r="X262" s="1">
        <v>44310</v>
      </c>
      <c r="Y262" s="5">
        <f>IF(Table1[[#This Row],[NPA_Flag]]=1, Table1[[#This Row],[Outstanding_Amount]], 0)</f>
        <v>0</v>
      </c>
      <c r="Z262" s="1">
        <v>46053</v>
      </c>
    </row>
    <row r="263" spans="1:26" x14ac:dyDescent="0.25">
      <c r="A263" t="s">
        <v>472</v>
      </c>
      <c r="B263" t="s">
        <v>276</v>
      </c>
      <c r="C263" t="s">
        <v>38</v>
      </c>
      <c r="D263" t="s">
        <v>52</v>
      </c>
      <c r="E263" t="s">
        <v>53</v>
      </c>
      <c r="F263" t="s">
        <v>46</v>
      </c>
      <c r="G263">
        <v>8564240</v>
      </c>
      <c r="H263">
        <v>7618934</v>
      </c>
      <c r="I263">
        <v>945306</v>
      </c>
      <c r="J263">
        <v>0.89</v>
      </c>
      <c r="K263">
        <v>12.42</v>
      </c>
      <c r="L263">
        <v>15</v>
      </c>
      <c r="M263" t="s">
        <v>31</v>
      </c>
      <c r="N263">
        <v>0</v>
      </c>
      <c r="O263" t="s">
        <v>32</v>
      </c>
      <c r="P263">
        <v>1</v>
      </c>
      <c r="Q263">
        <v>1</v>
      </c>
      <c r="R263" t="s">
        <v>47</v>
      </c>
      <c r="S263" t="s">
        <v>57</v>
      </c>
      <c r="T263">
        <v>19</v>
      </c>
      <c r="U263">
        <v>329643025</v>
      </c>
      <c r="V263" t="s">
        <v>35</v>
      </c>
      <c r="W263" s="1">
        <v>43923</v>
      </c>
      <c r="X263" s="1">
        <v>43933</v>
      </c>
      <c r="Y263" s="5">
        <f>IF(Table1[[#This Row],[NPA_Flag]]=1, Table1[[#This Row],[Outstanding_Amount]], 0)</f>
        <v>0</v>
      </c>
      <c r="Z263" s="1">
        <v>46053</v>
      </c>
    </row>
    <row r="264" spans="1:26" x14ac:dyDescent="0.25">
      <c r="A264" t="s">
        <v>473</v>
      </c>
      <c r="B264" t="s">
        <v>474</v>
      </c>
      <c r="C264" t="s">
        <v>27</v>
      </c>
      <c r="D264" t="s">
        <v>52</v>
      </c>
      <c r="E264" t="s">
        <v>85</v>
      </c>
      <c r="F264" t="s">
        <v>54</v>
      </c>
      <c r="G264">
        <v>2364729</v>
      </c>
      <c r="H264">
        <v>1925727</v>
      </c>
      <c r="I264">
        <v>439002</v>
      </c>
      <c r="J264">
        <v>0.81</v>
      </c>
      <c r="K264">
        <v>12.43</v>
      </c>
      <c r="L264">
        <v>10</v>
      </c>
      <c r="M264" t="s">
        <v>31</v>
      </c>
      <c r="N264">
        <v>0</v>
      </c>
      <c r="O264" t="s">
        <v>32</v>
      </c>
      <c r="P264">
        <v>1</v>
      </c>
      <c r="Q264">
        <v>4</v>
      </c>
      <c r="R264" t="s">
        <v>91</v>
      </c>
      <c r="S264" t="s">
        <v>64</v>
      </c>
      <c r="T264">
        <v>9</v>
      </c>
      <c r="U264">
        <v>7123436</v>
      </c>
      <c r="V264" t="s">
        <v>49</v>
      </c>
      <c r="W264" s="1">
        <v>43931</v>
      </c>
      <c r="X264" s="1">
        <v>43938</v>
      </c>
      <c r="Y264" s="5">
        <f>IF(Table1[[#This Row],[NPA_Flag]]=1, Table1[[#This Row],[Outstanding_Amount]], 0)</f>
        <v>0</v>
      </c>
      <c r="Z264" s="1">
        <v>46053</v>
      </c>
    </row>
    <row r="265" spans="1:26" x14ac:dyDescent="0.25">
      <c r="A265" t="s">
        <v>475</v>
      </c>
      <c r="B265" t="s">
        <v>233</v>
      </c>
      <c r="C265" t="s">
        <v>38</v>
      </c>
      <c r="D265" t="s">
        <v>28</v>
      </c>
      <c r="E265" t="s">
        <v>40</v>
      </c>
      <c r="F265" t="s">
        <v>30</v>
      </c>
      <c r="G265">
        <v>14214104</v>
      </c>
      <c r="H265">
        <v>9315097</v>
      </c>
      <c r="I265">
        <v>4899007</v>
      </c>
      <c r="J265">
        <v>0.66</v>
      </c>
      <c r="K265">
        <v>13.9</v>
      </c>
      <c r="L265">
        <v>17</v>
      </c>
      <c r="M265" t="s">
        <v>31</v>
      </c>
      <c r="N265">
        <v>0</v>
      </c>
      <c r="O265" t="s">
        <v>32</v>
      </c>
      <c r="P265">
        <v>0</v>
      </c>
      <c r="Q265">
        <v>1</v>
      </c>
      <c r="R265" t="s">
        <v>33</v>
      </c>
      <c r="S265" t="s">
        <v>48</v>
      </c>
      <c r="T265">
        <v>21</v>
      </c>
      <c r="U265">
        <v>386557632</v>
      </c>
      <c r="V265" t="s">
        <v>65</v>
      </c>
      <c r="W265" s="1">
        <v>44619</v>
      </c>
      <c r="X265" s="1">
        <v>44622</v>
      </c>
      <c r="Y265" s="5">
        <f>IF(Table1[[#This Row],[NPA_Flag]]=1, Table1[[#This Row],[Outstanding_Amount]], 0)</f>
        <v>0</v>
      </c>
      <c r="Z265" s="1">
        <v>46053</v>
      </c>
    </row>
    <row r="266" spans="1:26" x14ac:dyDescent="0.25">
      <c r="A266" t="s">
        <v>476</v>
      </c>
      <c r="B266" t="s">
        <v>51</v>
      </c>
      <c r="C266" t="s">
        <v>78</v>
      </c>
      <c r="D266" t="s">
        <v>39</v>
      </c>
      <c r="E266" t="s">
        <v>82</v>
      </c>
      <c r="F266" t="s">
        <v>54</v>
      </c>
      <c r="G266">
        <v>3538935</v>
      </c>
      <c r="H266">
        <v>2171282</v>
      </c>
      <c r="I266">
        <v>1367653</v>
      </c>
      <c r="J266">
        <v>0.61</v>
      </c>
      <c r="K266">
        <v>9.16</v>
      </c>
      <c r="L266">
        <v>5</v>
      </c>
      <c r="M266" t="s">
        <v>31</v>
      </c>
      <c r="N266">
        <v>0</v>
      </c>
      <c r="O266" t="s">
        <v>32</v>
      </c>
      <c r="P266">
        <v>0</v>
      </c>
      <c r="Q266">
        <v>2</v>
      </c>
      <c r="R266" t="s">
        <v>33</v>
      </c>
      <c r="S266" t="s">
        <v>48</v>
      </c>
      <c r="T266">
        <v>16</v>
      </c>
      <c r="U266">
        <v>205278026</v>
      </c>
      <c r="V266" t="s">
        <v>58</v>
      </c>
      <c r="W266" s="1">
        <v>44611</v>
      </c>
      <c r="X266" s="1">
        <v>44612</v>
      </c>
      <c r="Y266" s="5">
        <f>IF(Table1[[#This Row],[NPA_Flag]]=1, Table1[[#This Row],[Outstanding_Amount]], 0)</f>
        <v>0</v>
      </c>
      <c r="Z266" s="1">
        <v>46053</v>
      </c>
    </row>
    <row r="267" spans="1:26" x14ac:dyDescent="0.25">
      <c r="A267" t="s">
        <v>477</v>
      </c>
      <c r="B267" t="s">
        <v>478</v>
      </c>
      <c r="C267" t="s">
        <v>44</v>
      </c>
      <c r="D267" t="s">
        <v>28</v>
      </c>
      <c r="E267" t="s">
        <v>29</v>
      </c>
      <c r="F267" t="s">
        <v>54</v>
      </c>
      <c r="G267">
        <v>14272699</v>
      </c>
      <c r="H267">
        <v>11882024</v>
      </c>
      <c r="I267">
        <v>2390675</v>
      </c>
      <c r="J267">
        <v>0.83</v>
      </c>
      <c r="K267">
        <v>13.83</v>
      </c>
      <c r="L267">
        <v>30</v>
      </c>
      <c r="M267" t="s">
        <v>31</v>
      </c>
      <c r="N267">
        <v>0</v>
      </c>
      <c r="O267" t="s">
        <v>32</v>
      </c>
      <c r="P267">
        <v>0</v>
      </c>
      <c r="Q267">
        <v>5</v>
      </c>
      <c r="R267" t="s">
        <v>47</v>
      </c>
      <c r="S267" t="s">
        <v>57</v>
      </c>
      <c r="T267">
        <v>18</v>
      </c>
      <c r="U267">
        <v>340556327</v>
      </c>
      <c r="V267" t="s">
        <v>49</v>
      </c>
      <c r="W267" s="1">
        <v>43968</v>
      </c>
      <c r="X267" s="1">
        <v>43971</v>
      </c>
      <c r="Y267" s="5">
        <f>IF(Table1[[#This Row],[NPA_Flag]]=1, Table1[[#This Row],[Outstanding_Amount]], 0)</f>
        <v>0</v>
      </c>
      <c r="Z267" s="1">
        <v>46053</v>
      </c>
    </row>
    <row r="268" spans="1:26" x14ac:dyDescent="0.25">
      <c r="A268" t="s">
        <v>479</v>
      </c>
      <c r="B268" t="s">
        <v>468</v>
      </c>
      <c r="C268" t="s">
        <v>44</v>
      </c>
      <c r="D268" t="s">
        <v>39</v>
      </c>
      <c r="E268" t="s">
        <v>53</v>
      </c>
      <c r="F268" t="s">
        <v>54</v>
      </c>
      <c r="G268">
        <v>6241026</v>
      </c>
      <c r="H268">
        <v>5525269</v>
      </c>
      <c r="I268">
        <v>715757</v>
      </c>
      <c r="J268">
        <v>0.89</v>
      </c>
      <c r="K268">
        <v>9.77</v>
      </c>
      <c r="L268">
        <v>16</v>
      </c>
      <c r="M268" t="s">
        <v>31</v>
      </c>
      <c r="N268">
        <v>0</v>
      </c>
      <c r="O268" t="s">
        <v>32</v>
      </c>
      <c r="P268">
        <v>0</v>
      </c>
      <c r="Q268">
        <v>3</v>
      </c>
      <c r="R268" t="s">
        <v>33</v>
      </c>
      <c r="S268" t="s">
        <v>79</v>
      </c>
      <c r="T268">
        <v>9</v>
      </c>
      <c r="U268">
        <v>211519643</v>
      </c>
      <c r="V268" t="s">
        <v>65</v>
      </c>
      <c r="W268" s="1">
        <v>45087</v>
      </c>
      <c r="X268" s="1">
        <v>45093</v>
      </c>
      <c r="Y268" s="5">
        <f>IF(Table1[[#This Row],[NPA_Flag]]=1, Table1[[#This Row],[Outstanding_Amount]], 0)</f>
        <v>0</v>
      </c>
      <c r="Z268" s="1">
        <v>46053</v>
      </c>
    </row>
    <row r="269" spans="1:26" x14ac:dyDescent="0.25">
      <c r="A269" t="s">
        <v>480</v>
      </c>
      <c r="B269" t="s">
        <v>162</v>
      </c>
      <c r="C269" t="s">
        <v>27</v>
      </c>
      <c r="D269" t="s">
        <v>61</v>
      </c>
      <c r="E269" t="s">
        <v>82</v>
      </c>
      <c r="F269" t="s">
        <v>30</v>
      </c>
      <c r="G269">
        <v>9786720</v>
      </c>
      <c r="H269">
        <v>8642094</v>
      </c>
      <c r="I269">
        <v>1144626</v>
      </c>
      <c r="J269">
        <v>0.88</v>
      </c>
      <c r="K269">
        <v>11.8</v>
      </c>
      <c r="L269">
        <v>11</v>
      </c>
      <c r="M269" t="s">
        <v>31</v>
      </c>
      <c r="N269">
        <v>0</v>
      </c>
      <c r="O269" t="s">
        <v>32</v>
      </c>
      <c r="P269">
        <v>1</v>
      </c>
      <c r="Q269">
        <v>4</v>
      </c>
      <c r="R269" t="s">
        <v>33</v>
      </c>
      <c r="S269" t="s">
        <v>64</v>
      </c>
      <c r="T269">
        <v>23</v>
      </c>
      <c r="U269">
        <v>484683100</v>
      </c>
      <c r="V269" t="s">
        <v>58</v>
      </c>
      <c r="W269" s="1">
        <v>45312</v>
      </c>
      <c r="X269" s="1">
        <v>45314</v>
      </c>
      <c r="Y269" s="5">
        <f>IF(Table1[[#This Row],[NPA_Flag]]=1, Table1[[#This Row],[Outstanding_Amount]], 0)</f>
        <v>0</v>
      </c>
      <c r="Z269" s="1">
        <v>46053</v>
      </c>
    </row>
    <row r="270" spans="1:26" x14ac:dyDescent="0.25">
      <c r="A270" t="s">
        <v>481</v>
      </c>
      <c r="B270" t="s">
        <v>202</v>
      </c>
      <c r="C270" t="s">
        <v>78</v>
      </c>
      <c r="D270" t="s">
        <v>28</v>
      </c>
      <c r="E270" t="s">
        <v>102</v>
      </c>
      <c r="F270" t="s">
        <v>30</v>
      </c>
      <c r="G270">
        <v>7189803</v>
      </c>
      <c r="H270">
        <v>6823325</v>
      </c>
      <c r="I270">
        <v>366478</v>
      </c>
      <c r="J270">
        <v>0.95</v>
      </c>
      <c r="K270">
        <v>9.11</v>
      </c>
      <c r="L270">
        <v>9</v>
      </c>
      <c r="M270" t="s">
        <v>31</v>
      </c>
      <c r="N270">
        <v>0</v>
      </c>
      <c r="O270" t="s">
        <v>32</v>
      </c>
      <c r="P270">
        <v>1</v>
      </c>
      <c r="Q270">
        <v>5</v>
      </c>
      <c r="R270" t="s">
        <v>33</v>
      </c>
      <c r="S270" t="s">
        <v>57</v>
      </c>
      <c r="T270">
        <v>1</v>
      </c>
      <c r="U270">
        <v>392886109</v>
      </c>
      <c r="V270" t="s">
        <v>65</v>
      </c>
      <c r="W270" s="1">
        <v>44755</v>
      </c>
      <c r="X270" s="1">
        <v>44763</v>
      </c>
      <c r="Y270" s="5">
        <f>IF(Table1[[#This Row],[NPA_Flag]]=1, Table1[[#This Row],[Outstanding_Amount]], 0)</f>
        <v>0</v>
      </c>
      <c r="Z270" s="1">
        <v>46053</v>
      </c>
    </row>
    <row r="271" spans="1:26" x14ac:dyDescent="0.25">
      <c r="A271" t="s">
        <v>482</v>
      </c>
      <c r="B271" t="s">
        <v>451</v>
      </c>
      <c r="C271" t="s">
        <v>38</v>
      </c>
      <c r="D271" t="s">
        <v>61</v>
      </c>
      <c r="E271" t="s">
        <v>82</v>
      </c>
      <c r="F271" t="s">
        <v>54</v>
      </c>
      <c r="G271">
        <v>6700406</v>
      </c>
      <c r="H271">
        <v>4669150</v>
      </c>
      <c r="I271">
        <v>2031256</v>
      </c>
      <c r="J271">
        <v>0.7</v>
      </c>
      <c r="K271">
        <v>11.48</v>
      </c>
      <c r="L271">
        <v>3</v>
      </c>
      <c r="M271" t="s">
        <v>31</v>
      </c>
      <c r="N271">
        <v>0</v>
      </c>
      <c r="O271" t="s">
        <v>32</v>
      </c>
      <c r="P271">
        <v>0</v>
      </c>
      <c r="Q271">
        <v>5</v>
      </c>
      <c r="R271" t="s">
        <v>47</v>
      </c>
      <c r="S271" t="s">
        <v>79</v>
      </c>
      <c r="T271">
        <v>5</v>
      </c>
      <c r="U271">
        <v>175898683</v>
      </c>
      <c r="V271" t="s">
        <v>35</v>
      </c>
      <c r="W271" s="1">
        <v>45260</v>
      </c>
      <c r="X271" s="1">
        <v>45261</v>
      </c>
      <c r="Y271" s="5">
        <f>IF(Table1[[#This Row],[NPA_Flag]]=1, Table1[[#This Row],[Outstanding_Amount]], 0)</f>
        <v>0</v>
      </c>
      <c r="Z271" s="1">
        <v>46053</v>
      </c>
    </row>
    <row r="272" spans="1:26" x14ac:dyDescent="0.25">
      <c r="A272" t="s">
        <v>483</v>
      </c>
      <c r="B272" t="s">
        <v>140</v>
      </c>
      <c r="C272" t="s">
        <v>27</v>
      </c>
      <c r="D272" t="s">
        <v>39</v>
      </c>
      <c r="E272" t="s">
        <v>73</v>
      </c>
      <c r="F272" t="s">
        <v>46</v>
      </c>
      <c r="G272">
        <v>13963262</v>
      </c>
      <c r="H272">
        <v>9827940</v>
      </c>
      <c r="I272">
        <v>4135322</v>
      </c>
      <c r="J272">
        <v>0.7</v>
      </c>
      <c r="K272">
        <v>12.19</v>
      </c>
      <c r="L272">
        <v>20</v>
      </c>
      <c r="M272" t="s">
        <v>31</v>
      </c>
      <c r="N272">
        <v>0</v>
      </c>
      <c r="O272" t="s">
        <v>32</v>
      </c>
      <c r="P272">
        <v>1</v>
      </c>
      <c r="Q272">
        <v>3</v>
      </c>
      <c r="R272" t="s">
        <v>47</v>
      </c>
      <c r="S272" t="s">
        <v>79</v>
      </c>
      <c r="T272">
        <v>19</v>
      </c>
      <c r="U272">
        <v>68373981</v>
      </c>
      <c r="V272" t="s">
        <v>35</v>
      </c>
      <c r="W272" s="1">
        <v>44050</v>
      </c>
      <c r="X272" s="1">
        <v>44052</v>
      </c>
      <c r="Y272" s="5">
        <f>IF(Table1[[#This Row],[NPA_Flag]]=1, Table1[[#This Row],[Outstanding_Amount]], 0)</f>
        <v>0</v>
      </c>
      <c r="Z272" s="1">
        <v>46053</v>
      </c>
    </row>
    <row r="273" spans="1:26" x14ac:dyDescent="0.25">
      <c r="A273" t="s">
        <v>484</v>
      </c>
      <c r="B273" t="s">
        <v>485</v>
      </c>
      <c r="C273" t="s">
        <v>27</v>
      </c>
      <c r="D273" t="s">
        <v>28</v>
      </c>
      <c r="E273" t="s">
        <v>53</v>
      </c>
      <c r="F273" t="s">
        <v>46</v>
      </c>
      <c r="G273">
        <v>10420100</v>
      </c>
      <c r="H273">
        <v>7536988</v>
      </c>
      <c r="I273">
        <v>2883112</v>
      </c>
      <c r="J273">
        <v>0.72</v>
      </c>
      <c r="K273">
        <v>13.18</v>
      </c>
      <c r="L273">
        <v>17</v>
      </c>
      <c r="M273" t="s">
        <v>31</v>
      </c>
      <c r="N273">
        <v>0</v>
      </c>
      <c r="O273" t="s">
        <v>32</v>
      </c>
      <c r="P273">
        <v>0</v>
      </c>
      <c r="Q273">
        <v>1</v>
      </c>
      <c r="R273" t="s">
        <v>41</v>
      </c>
      <c r="S273" t="s">
        <v>48</v>
      </c>
      <c r="T273">
        <v>1</v>
      </c>
      <c r="U273">
        <v>143315059</v>
      </c>
      <c r="V273" t="s">
        <v>49</v>
      </c>
      <c r="W273" s="1">
        <v>44681</v>
      </c>
      <c r="X273" s="1">
        <v>44685</v>
      </c>
      <c r="Y273" s="5">
        <f>IF(Table1[[#This Row],[NPA_Flag]]=1, Table1[[#This Row],[Outstanding_Amount]], 0)</f>
        <v>0</v>
      </c>
      <c r="Z273" s="1">
        <v>46053</v>
      </c>
    </row>
    <row r="274" spans="1:26" x14ac:dyDescent="0.25">
      <c r="A274" t="s">
        <v>486</v>
      </c>
      <c r="B274" t="s">
        <v>151</v>
      </c>
      <c r="C274" t="s">
        <v>38</v>
      </c>
      <c r="D274" t="s">
        <v>52</v>
      </c>
      <c r="E274" t="s">
        <v>82</v>
      </c>
      <c r="F274" t="s">
        <v>68</v>
      </c>
      <c r="G274">
        <v>6604774</v>
      </c>
      <c r="H274">
        <v>4190347</v>
      </c>
      <c r="I274">
        <v>2414427</v>
      </c>
      <c r="J274">
        <v>0.63</v>
      </c>
      <c r="K274">
        <v>12.56</v>
      </c>
      <c r="L274">
        <v>0</v>
      </c>
      <c r="M274" t="s">
        <v>31</v>
      </c>
      <c r="N274">
        <v>0</v>
      </c>
      <c r="O274" t="s">
        <v>32</v>
      </c>
      <c r="P274">
        <v>1</v>
      </c>
      <c r="Q274">
        <v>5</v>
      </c>
      <c r="R274" t="s">
        <v>47</v>
      </c>
      <c r="S274" t="s">
        <v>34</v>
      </c>
      <c r="T274">
        <v>24</v>
      </c>
      <c r="U274">
        <v>465588453</v>
      </c>
      <c r="V274" t="s">
        <v>49</v>
      </c>
      <c r="W274" s="1">
        <v>44573</v>
      </c>
      <c r="X274" s="1">
        <v>44582</v>
      </c>
      <c r="Y274" s="5">
        <f>IF(Table1[[#This Row],[NPA_Flag]]=1, Table1[[#This Row],[Outstanding_Amount]], 0)</f>
        <v>0</v>
      </c>
      <c r="Z274" s="1">
        <v>46053</v>
      </c>
    </row>
    <row r="275" spans="1:26" x14ac:dyDescent="0.25">
      <c r="A275" t="s">
        <v>487</v>
      </c>
      <c r="B275" t="s">
        <v>196</v>
      </c>
      <c r="C275" t="s">
        <v>78</v>
      </c>
      <c r="D275" t="s">
        <v>28</v>
      </c>
      <c r="E275" t="s">
        <v>97</v>
      </c>
      <c r="F275" t="s">
        <v>46</v>
      </c>
      <c r="G275">
        <v>10110939</v>
      </c>
      <c r="H275">
        <v>8628597</v>
      </c>
      <c r="I275">
        <v>1482342</v>
      </c>
      <c r="J275">
        <v>0.85</v>
      </c>
      <c r="K275">
        <v>11.77</v>
      </c>
      <c r="L275">
        <v>2</v>
      </c>
      <c r="M275" t="s">
        <v>31</v>
      </c>
      <c r="N275">
        <v>0</v>
      </c>
      <c r="O275" t="s">
        <v>32</v>
      </c>
      <c r="P275">
        <v>0</v>
      </c>
      <c r="Q275">
        <v>5</v>
      </c>
      <c r="R275" t="s">
        <v>91</v>
      </c>
      <c r="S275" t="s">
        <v>64</v>
      </c>
      <c r="T275">
        <v>12</v>
      </c>
      <c r="U275">
        <v>469936343</v>
      </c>
      <c r="V275" t="s">
        <v>65</v>
      </c>
      <c r="W275" s="1">
        <v>44024</v>
      </c>
      <c r="X275" s="1">
        <v>44026</v>
      </c>
      <c r="Y275" s="5">
        <f>IF(Table1[[#This Row],[NPA_Flag]]=1, Table1[[#This Row],[Outstanding_Amount]], 0)</f>
        <v>0</v>
      </c>
      <c r="Z275" s="1">
        <v>46053</v>
      </c>
    </row>
    <row r="276" spans="1:26" x14ac:dyDescent="0.25">
      <c r="A276" t="s">
        <v>488</v>
      </c>
      <c r="B276" t="s">
        <v>360</v>
      </c>
      <c r="C276" t="s">
        <v>44</v>
      </c>
      <c r="D276" t="s">
        <v>61</v>
      </c>
      <c r="E276" t="s">
        <v>94</v>
      </c>
      <c r="F276" t="s">
        <v>30</v>
      </c>
      <c r="G276">
        <v>4337169</v>
      </c>
      <c r="H276">
        <v>3528936</v>
      </c>
      <c r="I276">
        <v>808233</v>
      </c>
      <c r="J276">
        <v>0.81</v>
      </c>
      <c r="K276">
        <v>14.42</v>
      </c>
      <c r="L276">
        <v>28</v>
      </c>
      <c r="M276" t="s">
        <v>31</v>
      </c>
      <c r="N276">
        <v>0</v>
      </c>
      <c r="O276" t="s">
        <v>32</v>
      </c>
      <c r="P276">
        <v>0</v>
      </c>
      <c r="Q276">
        <v>1</v>
      </c>
      <c r="R276" t="s">
        <v>91</v>
      </c>
      <c r="S276" t="s">
        <v>64</v>
      </c>
      <c r="T276">
        <v>14</v>
      </c>
      <c r="U276">
        <v>314915960</v>
      </c>
      <c r="V276" t="s">
        <v>49</v>
      </c>
      <c r="W276" s="1">
        <v>44499</v>
      </c>
      <c r="X276" s="1">
        <v>44504</v>
      </c>
      <c r="Y276" s="5">
        <f>IF(Table1[[#This Row],[NPA_Flag]]=1, Table1[[#This Row],[Outstanding_Amount]], 0)</f>
        <v>0</v>
      </c>
      <c r="Z276" s="1">
        <v>46053</v>
      </c>
    </row>
    <row r="277" spans="1:26" x14ac:dyDescent="0.25">
      <c r="A277" t="s">
        <v>489</v>
      </c>
      <c r="B277" t="s">
        <v>445</v>
      </c>
      <c r="C277" t="s">
        <v>44</v>
      </c>
      <c r="D277" t="s">
        <v>52</v>
      </c>
      <c r="E277" t="s">
        <v>53</v>
      </c>
      <c r="F277" t="s">
        <v>68</v>
      </c>
      <c r="G277">
        <v>6622064</v>
      </c>
      <c r="H277">
        <v>5452052</v>
      </c>
      <c r="I277">
        <v>1170012</v>
      </c>
      <c r="J277">
        <v>0.82</v>
      </c>
      <c r="K277">
        <v>11.82</v>
      </c>
      <c r="L277">
        <v>16</v>
      </c>
      <c r="M277" t="s">
        <v>31</v>
      </c>
      <c r="N277">
        <v>0</v>
      </c>
      <c r="O277" t="s">
        <v>32</v>
      </c>
      <c r="P277">
        <v>1</v>
      </c>
      <c r="Q277">
        <v>5</v>
      </c>
      <c r="R277" t="s">
        <v>91</v>
      </c>
      <c r="S277" t="s">
        <v>48</v>
      </c>
      <c r="T277">
        <v>2</v>
      </c>
      <c r="U277">
        <v>188745315</v>
      </c>
      <c r="V277" t="s">
        <v>49</v>
      </c>
      <c r="W277" s="1">
        <v>43996</v>
      </c>
      <c r="X277" s="1">
        <v>44000</v>
      </c>
      <c r="Y277" s="5">
        <f>IF(Table1[[#This Row],[NPA_Flag]]=1, Table1[[#This Row],[Outstanding_Amount]], 0)</f>
        <v>0</v>
      </c>
      <c r="Z277" s="1">
        <v>46053</v>
      </c>
    </row>
    <row r="278" spans="1:26" x14ac:dyDescent="0.25">
      <c r="A278" t="s">
        <v>490</v>
      </c>
      <c r="B278" t="s">
        <v>77</v>
      </c>
      <c r="C278" t="s">
        <v>78</v>
      </c>
      <c r="D278" t="s">
        <v>28</v>
      </c>
      <c r="E278" t="s">
        <v>29</v>
      </c>
      <c r="F278" t="s">
        <v>30</v>
      </c>
      <c r="G278">
        <v>13140523</v>
      </c>
      <c r="H278">
        <v>8984962</v>
      </c>
      <c r="I278">
        <v>4155561</v>
      </c>
      <c r="J278">
        <v>0.68</v>
      </c>
      <c r="K278">
        <v>9.5299999999999994</v>
      </c>
      <c r="L278">
        <v>30</v>
      </c>
      <c r="M278" t="s">
        <v>31</v>
      </c>
      <c r="N278">
        <v>0</v>
      </c>
      <c r="O278" t="s">
        <v>32</v>
      </c>
      <c r="P278">
        <v>0</v>
      </c>
      <c r="Q278">
        <v>5</v>
      </c>
      <c r="R278" t="s">
        <v>91</v>
      </c>
      <c r="S278" t="s">
        <v>57</v>
      </c>
      <c r="T278">
        <v>20</v>
      </c>
      <c r="U278">
        <v>277070065</v>
      </c>
      <c r="V278" t="s">
        <v>35</v>
      </c>
      <c r="W278" s="1">
        <v>44532</v>
      </c>
      <c r="X278" s="1">
        <v>44541</v>
      </c>
      <c r="Y278" s="5">
        <f>IF(Table1[[#This Row],[NPA_Flag]]=1, Table1[[#This Row],[Outstanding_Amount]], 0)</f>
        <v>0</v>
      </c>
      <c r="Z278" s="1">
        <v>46053</v>
      </c>
    </row>
    <row r="279" spans="1:26" x14ac:dyDescent="0.25">
      <c r="A279" t="s">
        <v>491</v>
      </c>
      <c r="B279" t="s">
        <v>492</v>
      </c>
      <c r="C279" t="s">
        <v>27</v>
      </c>
      <c r="D279" t="s">
        <v>61</v>
      </c>
      <c r="E279" t="s">
        <v>82</v>
      </c>
      <c r="F279" t="s">
        <v>30</v>
      </c>
      <c r="G279">
        <v>12616258</v>
      </c>
      <c r="H279">
        <v>11171808</v>
      </c>
      <c r="I279">
        <v>1444450</v>
      </c>
      <c r="J279">
        <v>0.89</v>
      </c>
      <c r="K279">
        <v>10.64</v>
      </c>
      <c r="L279">
        <v>4</v>
      </c>
      <c r="M279" t="s">
        <v>31</v>
      </c>
      <c r="N279">
        <v>0</v>
      </c>
      <c r="O279" t="s">
        <v>32</v>
      </c>
      <c r="P279">
        <v>0</v>
      </c>
      <c r="Q279">
        <v>3</v>
      </c>
      <c r="R279" t="s">
        <v>41</v>
      </c>
      <c r="S279" t="s">
        <v>57</v>
      </c>
      <c r="T279">
        <v>6</v>
      </c>
      <c r="U279">
        <v>425030237</v>
      </c>
      <c r="V279" t="s">
        <v>35</v>
      </c>
      <c r="W279" s="1">
        <v>44362</v>
      </c>
      <c r="X279" s="1">
        <v>44370</v>
      </c>
      <c r="Y279" s="5">
        <f>IF(Table1[[#This Row],[NPA_Flag]]=1, Table1[[#This Row],[Outstanding_Amount]], 0)</f>
        <v>0</v>
      </c>
      <c r="Z279" s="1">
        <v>46053</v>
      </c>
    </row>
    <row r="280" spans="1:26" x14ac:dyDescent="0.25">
      <c r="A280" t="s">
        <v>493</v>
      </c>
      <c r="B280" t="s">
        <v>270</v>
      </c>
      <c r="C280" t="s">
        <v>27</v>
      </c>
      <c r="D280" t="s">
        <v>28</v>
      </c>
      <c r="E280" t="s">
        <v>94</v>
      </c>
      <c r="F280" t="s">
        <v>46</v>
      </c>
      <c r="G280">
        <v>5405717</v>
      </c>
      <c r="H280">
        <v>4970593</v>
      </c>
      <c r="I280">
        <v>435124</v>
      </c>
      <c r="J280">
        <v>0.92</v>
      </c>
      <c r="K280">
        <v>9.57</v>
      </c>
      <c r="L280">
        <v>60</v>
      </c>
      <c r="M280" t="s">
        <v>55</v>
      </c>
      <c r="N280">
        <v>0</v>
      </c>
      <c r="O280" t="s">
        <v>56</v>
      </c>
      <c r="P280">
        <v>1</v>
      </c>
      <c r="Q280">
        <v>0</v>
      </c>
      <c r="R280" t="s">
        <v>41</v>
      </c>
      <c r="S280" t="s">
        <v>48</v>
      </c>
      <c r="T280">
        <v>1</v>
      </c>
      <c r="U280">
        <v>372122341</v>
      </c>
      <c r="V280" t="s">
        <v>58</v>
      </c>
      <c r="W280" s="1">
        <v>44733</v>
      </c>
      <c r="X280" s="1">
        <v>44741</v>
      </c>
      <c r="Y280" s="5">
        <f>IF(Table1[[#This Row],[NPA_Flag]]=1, Table1[[#This Row],[Outstanding_Amount]], 0)</f>
        <v>0</v>
      </c>
      <c r="Z280" s="1">
        <v>46053</v>
      </c>
    </row>
    <row r="281" spans="1:26" x14ac:dyDescent="0.25">
      <c r="A281" t="s">
        <v>494</v>
      </c>
      <c r="B281" t="s">
        <v>93</v>
      </c>
      <c r="C281" t="s">
        <v>44</v>
      </c>
      <c r="D281" t="s">
        <v>39</v>
      </c>
      <c r="E281" t="s">
        <v>29</v>
      </c>
      <c r="F281" t="s">
        <v>68</v>
      </c>
      <c r="G281">
        <v>7366054</v>
      </c>
      <c r="H281">
        <v>5016090</v>
      </c>
      <c r="I281">
        <v>2349964</v>
      </c>
      <c r="J281">
        <v>0.68</v>
      </c>
      <c r="K281">
        <v>14.4</v>
      </c>
      <c r="L281">
        <v>16</v>
      </c>
      <c r="M281" t="s">
        <v>31</v>
      </c>
      <c r="N281">
        <v>0</v>
      </c>
      <c r="O281" t="s">
        <v>32</v>
      </c>
      <c r="P281">
        <v>0</v>
      </c>
      <c r="Q281">
        <v>5</v>
      </c>
      <c r="R281" t="s">
        <v>33</v>
      </c>
      <c r="S281" t="s">
        <v>48</v>
      </c>
      <c r="T281">
        <v>5</v>
      </c>
      <c r="U281">
        <v>424852288</v>
      </c>
      <c r="V281" t="s">
        <v>65</v>
      </c>
      <c r="W281" s="1">
        <v>44002</v>
      </c>
      <c r="X281" s="1">
        <v>44008</v>
      </c>
      <c r="Y281" s="5">
        <f>IF(Table1[[#This Row],[NPA_Flag]]=1, Table1[[#This Row],[Outstanding_Amount]], 0)</f>
        <v>0</v>
      </c>
      <c r="Z281" s="1">
        <v>46053</v>
      </c>
    </row>
    <row r="282" spans="1:26" x14ac:dyDescent="0.25">
      <c r="A282" t="s">
        <v>495</v>
      </c>
      <c r="B282" t="s">
        <v>496</v>
      </c>
      <c r="C282" t="s">
        <v>78</v>
      </c>
      <c r="D282" t="s">
        <v>39</v>
      </c>
      <c r="E282" t="s">
        <v>94</v>
      </c>
      <c r="F282" t="s">
        <v>54</v>
      </c>
      <c r="G282">
        <v>6174186</v>
      </c>
      <c r="H282">
        <v>5801894</v>
      </c>
      <c r="I282">
        <v>372292</v>
      </c>
      <c r="J282">
        <v>0.94</v>
      </c>
      <c r="K282">
        <v>11.77</v>
      </c>
      <c r="L282">
        <v>11</v>
      </c>
      <c r="M282" t="s">
        <v>31</v>
      </c>
      <c r="N282">
        <v>0</v>
      </c>
      <c r="O282" t="s">
        <v>32</v>
      </c>
      <c r="P282">
        <v>1</v>
      </c>
      <c r="Q282">
        <v>2</v>
      </c>
      <c r="R282" t="s">
        <v>91</v>
      </c>
      <c r="S282" t="s">
        <v>34</v>
      </c>
      <c r="T282">
        <v>12</v>
      </c>
      <c r="U282">
        <v>179791588</v>
      </c>
      <c r="V282" t="s">
        <v>49</v>
      </c>
      <c r="W282" s="1">
        <v>44153</v>
      </c>
      <c r="X282" s="1">
        <v>44156</v>
      </c>
      <c r="Y282" s="5">
        <f>IF(Table1[[#This Row],[NPA_Flag]]=1, Table1[[#This Row],[Outstanding_Amount]], 0)</f>
        <v>0</v>
      </c>
      <c r="Z282" s="1">
        <v>46053</v>
      </c>
    </row>
    <row r="283" spans="1:26" x14ac:dyDescent="0.25">
      <c r="A283" t="s">
        <v>497</v>
      </c>
      <c r="B283" t="s">
        <v>106</v>
      </c>
      <c r="C283" t="s">
        <v>78</v>
      </c>
      <c r="D283" t="s">
        <v>61</v>
      </c>
      <c r="E283" t="s">
        <v>82</v>
      </c>
      <c r="F283" t="s">
        <v>68</v>
      </c>
      <c r="G283">
        <v>5794593</v>
      </c>
      <c r="H283">
        <v>3884650</v>
      </c>
      <c r="I283">
        <v>1909943</v>
      </c>
      <c r="J283">
        <v>0.67</v>
      </c>
      <c r="K283">
        <v>11.45</v>
      </c>
      <c r="L283">
        <v>21</v>
      </c>
      <c r="M283" t="s">
        <v>31</v>
      </c>
      <c r="N283">
        <v>0</v>
      </c>
      <c r="O283" t="s">
        <v>32</v>
      </c>
      <c r="P283">
        <v>0</v>
      </c>
      <c r="Q283">
        <v>1</v>
      </c>
      <c r="R283" t="s">
        <v>41</v>
      </c>
      <c r="S283" t="s">
        <v>57</v>
      </c>
      <c r="T283">
        <v>22</v>
      </c>
      <c r="U283">
        <v>340631208</v>
      </c>
      <c r="V283" t="s">
        <v>35</v>
      </c>
      <c r="W283" s="1">
        <v>44046</v>
      </c>
      <c r="X283" s="1">
        <v>44055</v>
      </c>
      <c r="Y283" s="5">
        <f>IF(Table1[[#This Row],[NPA_Flag]]=1, Table1[[#This Row],[Outstanding_Amount]], 0)</f>
        <v>0</v>
      </c>
      <c r="Z283" s="1">
        <v>46053</v>
      </c>
    </row>
    <row r="284" spans="1:26" x14ac:dyDescent="0.25">
      <c r="A284" t="s">
        <v>498</v>
      </c>
      <c r="B284" t="s">
        <v>385</v>
      </c>
      <c r="C284" t="s">
        <v>78</v>
      </c>
      <c r="D284" t="s">
        <v>28</v>
      </c>
      <c r="E284" t="s">
        <v>45</v>
      </c>
      <c r="F284" t="s">
        <v>68</v>
      </c>
      <c r="G284">
        <v>12562130</v>
      </c>
      <c r="H284">
        <v>11073333</v>
      </c>
      <c r="I284">
        <v>1488797</v>
      </c>
      <c r="J284">
        <v>0.88</v>
      </c>
      <c r="K284">
        <v>9.52</v>
      </c>
      <c r="L284">
        <v>16</v>
      </c>
      <c r="M284" t="s">
        <v>31</v>
      </c>
      <c r="N284">
        <v>0</v>
      </c>
      <c r="O284" t="s">
        <v>32</v>
      </c>
      <c r="P284">
        <v>0</v>
      </c>
      <c r="Q284">
        <v>3</v>
      </c>
      <c r="R284" t="s">
        <v>41</v>
      </c>
      <c r="S284" t="s">
        <v>34</v>
      </c>
      <c r="T284">
        <v>21</v>
      </c>
      <c r="U284">
        <v>99975192</v>
      </c>
      <c r="V284" t="s">
        <v>65</v>
      </c>
      <c r="W284" s="1">
        <v>43832</v>
      </c>
      <c r="X284" s="1">
        <v>43840</v>
      </c>
      <c r="Y284" s="5">
        <f>IF(Table1[[#This Row],[NPA_Flag]]=1, Table1[[#This Row],[Outstanding_Amount]], 0)</f>
        <v>0</v>
      </c>
      <c r="Z284" s="1">
        <v>46053</v>
      </c>
    </row>
    <row r="285" spans="1:26" x14ac:dyDescent="0.25">
      <c r="A285" t="s">
        <v>499</v>
      </c>
      <c r="B285" t="s">
        <v>500</v>
      </c>
      <c r="C285" t="s">
        <v>27</v>
      </c>
      <c r="D285" t="s">
        <v>52</v>
      </c>
      <c r="E285" t="s">
        <v>102</v>
      </c>
      <c r="F285" t="s">
        <v>46</v>
      </c>
      <c r="G285">
        <v>3859883</v>
      </c>
      <c r="H285">
        <v>2830585</v>
      </c>
      <c r="I285">
        <v>1029298</v>
      </c>
      <c r="J285">
        <v>0.73</v>
      </c>
      <c r="K285">
        <v>10.82</v>
      </c>
      <c r="L285">
        <v>29</v>
      </c>
      <c r="M285" t="s">
        <v>31</v>
      </c>
      <c r="N285">
        <v>0</v>
      </c>
      <c r="O285" t="s">
        <v>32</v>
      </c>
      <c r="P285">
        <v>1</v>
      </c>
      <c r="Q285">
        <v>5</v>
      </c>
      <c r="R285" t="s">
        <v>47</v>
      </c>
      <c r="S285" t="s">
        <v>48</v>
      </c>
      <c r="T285">
        <v>19</v>
      </c>
      <c r="U285">
        <v>264454263</v>
      </c>
      <c r="V285" t="s">
        <v>49</v>
      </c>
      <c r="W285" s="1">
        <v>44305</v>
      </c>
      <c r="X285" s="1">
        <v>44308</v>
      </c>
      <c r="Y285" s="5">
        <f>IF(Table1[[#This Row],[NPA_Flag]]=1, Table1[[#This Row],[Outstanding_Amount]], 0)</f>
        <v>0</v>
      </c>
      <c r="Z285" s="1">
        <v>46053</v>
      </c>
    </row>
    <row r="286" spans="1:26" x14ac:dyDescent="0.25">
      <c r="A286" t="s">
        <v>501</v>
      </c>
      <c r="B286" t="s">
        <v>474</v>
      </c>
      <c r="C286" t="s">
        <v>38</v>
      </c>
      <c r="D286" t="s">
        <v>61</v>
      </c>
      <c r="E286" t="s">
        <v>102</v>
      </c>
      <c r="F286" t="s">
        <v>30</v>
      </c>
      <c r="G286">
        <v>8003791</v>
      </c>
      <c r="H286">
        <v>7102738</v>
      </c>
      <c r="I286">
        <v>901053</v>
      </c>
      <c r="J286">
        <v>0.89</v>
      </c>
      <c r="K286">
        <v>14.27</v>
      </c>
      <c r="L286">
        <v>1</v>
      </c>
      <c r="M286" t="s">
        <v>31</v>
      </c>
      <c r="N286">
        <v>0</v>
      </c>
      <c r="O286" t="s">
        <v>32</v>
      </c>
      <c r="P286">
        <v>1</v>
      </c>
      <c r="Q286">
        <v>5</v>
      </c>
      <c r="R286" t="s">
        <v>41</v>
      </c>
      <c r="S286" t="s">
        <v>34</v>
      </c>
      <c r="T286">
        <v>8</v>
      </c>
      <c r="U286">
        <v>423253656</v>
      </c>
      <c r="V286" t="s">
        <v>58</v>
      </c>
      <c r="W286" s="1">
        <v>44442</v>
      </c>
      <c r="X286" s="1">
        <v>44450</v>
      </c>
      <c r="Y286" s="5">
        <f>IF(Table1[[#This Row],[NPA_Flag]]=1, Table1[[#This Row],[Outstanding_Amount]], 0)</f>
        <v>0</v>
      </c>
      <c r="Z286" s="1">
        <v>46053</v>
      </c>
    </row>
    <row r="287" spans="1:26" x14ac:dyDescent="0.25">
      <c r="A287" t="s">
        <v>502</v>
      </c>
      <c r="B287" t="s">
        <v>503</v>
      </c>
      <c r="C287" t="s">
        <v>78</v>
      </c>
      <c r="D287" t="s">
        <v>61</v>
      </c>
      <c r="E287" t="s">
        <v>53</v>
      </c>
      <c r="F287" t="s">
        <v>30</v>
      </c>
      <c r="G287">
        <v>8681635</v>
      </c>
      <c r="H287">
        <v>8193512</v>
      </c>
      <c r="I287">
        <v>488123</v>
      </c>
      <c r="J287">
        <v>0.94</v>
      </c>
      <c r="K287">
        <v>11.6</v>
      </c>
      <c r="L287">
        <v>25</v>
      </c>
      <c r="M287" t="s">
        <v>31</v>
      </c>
      <c r="N287">
        <v>0</v>
      </c>
      <c r="O287" t="s">
        <v>32</v>
      </c>
      <c r="P287">
        <v>0</v>
      </c>
      <c r="Q287">
        <v>1</v>
      </c>
      <c r="R287" t="s">
        <v>91</v>
      </c>
      <c r="S287" t="s">
        <v>57</v>
      </c>
      <c r="T287">
        <v>25</v>
      </c>
      <c r="U287">
        <v>111991591</v>
      </c>
      <c r="V287" t="s">
        <v>58</v>
      </c>
      <c r="W287" s="1">
        <v>44736</v>
      </c>
      <c r="X287" s="1">
        <v>44737</v>
      </c>
      <c r="Y287" s="5">
        <f>IF(Table1[[#This Row],[NPA_Flag]]=1, Table1[[#This Row],[Outstanding_Amount]], 0)</f>
        <v>0</v>
      </c>
      <c r="Z287" s="1">
        <v>46053</v>
      </c>
    </row>
    <row r="288" spans="1:26" x14ac:dyDescent="0.25">
      <c r="A288" t="s">
        <v>504</v>
      </c>
      <c r="B288" t="s">
        <v>496</v>
      </c>
      <c r="C288" t="s">
        <v>27</v>
      </c>
      <c r="D288" t="s">
        <v>39</v>
      </c>
      <c r="E288" t="s">
        <v>40</v>
      </c>
      <c r="F288" t="s">
        <v>68</v>
      </c>
      <c r="G288">
        <v>9182700</v>
      </c>
      <c r="H288">
        <v>7452003</v>
      </c>
      <c r="I288">
        <v>1730697</v>
      </c>
      <c r="J288">
        <v>0.81</v>
      </c>
      <c r="K288">
        <v>13.58</v>
      </c>
      <c r="L288">
        <v>26</v>
      </c>
      <c r="M288" t="s">
        <v>31</v>
      </c>
      <c r="N288">
        <v>0</v>
      </c>
      <c r="O288" t="s">
        <v>32</v>
      </c>
      <c r="P288">
        <v>0</v>
      </c>
      <c r="Q288">
        <v>4</v>
      </c>
      <c r="R288" t="s">
        <v>33</v>
      </c>
      <c r="S288" t="s">
        <v>48</v>
      </c>
      <c r="T288">
        <v>3</v>
      </c>
      <c r="U288">
        <v>129305226</v>
      </c>
      <c r="V288" t="s">
        <v>35</v>
      </c>
      <c r="W288" s="1">
        <v>45091</v>
      </c>
      <c r="X288" s="1">
        <v>45099</v>
      </c>
      <c r="Y288" s="5">
        <f>IF(Table1[[#This Row],[NPA_Flag]]=1, Table1[[#This Row],[Outstanding_Amount]], 0)</f>
        <v>0</v>
      </c>
      <c r="Z288" s="1">
        <v>46053</v>
      </c>
    </row>
    <row r="289" spans="1:26" x14ac:dyDescent="0.25">
      <c r="A289" t="s">
        <v>505</v>
      </c>
      <c r="B289" t="s">
        <v>506</v>
      </c>
      <c r="C289" t="s">
        <v>38</v>
      </c>
      <c r="D289" t="s">
        <v>39</v>
      </c>
      <c r="E289" t="s">
        <v>82</v>
      </c>
      <c r="F289" t="s">
        <v>68</v>
      </c>
      <c r="G289">
        <v>7856219</v>
      </c>
      <c r="H289">
        <v>4788984</v>
      </c>
      <c r="I289">
        <v>3067235</v>
      </c>
      <c r="J289">
        <v>0.61</v>
      </c>
      <c r="K289">
        <v>10.97</v>
      </c>
      <c r="L289">
        <v>5</v>
      </c>
      <c r="M289" t="s">
        <v>31</v>
      </c>
      <c r="N289">
        <v>0</v>
      </c>
      <c r="O289" t="s">
        <v>32</v>
      </c>
      <c r="P289">
        <v>1</v>
      </c>
      <c r="Q289">
        <v>0</v>
      </c>
      <c r="R289" t="s">
        <v>41</v>
      </c>
      <c r="S289" t="s">
        <v>57</v>
      </c>
      <c r="T289">
        <v>24</v>
      </c>
      <c r="U289">
        <v>232247665</v>
      </c>
      <c r="V289" t="s">
        <v>65</v>
      </c>
      <c r="W289" s="1">
        <v>43872</v>
      </c>
      <c r="X289" s="1">
        <v>43879</v>
      </c>
      <c r="Y289" s="5">
        <f>IF(Table1[[#This Row],[NPA_Flag]]=1, Table1[[#This Row],[Outstanding_Amount]], 0)</f>
        <v>0</v>
      </c>
      <c r="Z289" s="1">
        <v>46053</v>
      </c>
    </row>
    <row r="290" spans="1:26" x14ac:dyDescent="0.25">
      <c r="A290" t="s">
        <v>507</v>
      </c>
      <c r="B290" t="s">
        <v>26</v>
      </c>
      <c r="C290" t="s">
        <v>78</v>
      </c>
      <c r="D290" t="s">
        <v>61</v>
      </c>
      <c r="E290" t="s">
        <v>29</v>
      </c>
      <c r="F290" t="s">
        <v>54</v>
      </c>
      <c r="G290">
        <v>11148267</v>
      </c>
      <c r="H290">
        <v>8698898</v>
      </c>
      <c r="I290">
        <v>2449369</v>
      </c>
      <c r="J290">
        <v>0.78</v>
      </c>
      <c r="K290">
        <v>12.17</v>
      </c>
      <c r="L290">
        <v>14</v>
      </c>
      <c r="M290" t="s">
        <v>31</v>
      </c>
      <c r="N290">
        <v>0</v>
      </c>
      <c r="O290" t="s">
        <v>32</v>
      </c>
      <c r="P290">
        <v>0</v>
      </c>
      <c r="Q290">
        <v>5</v>
      </c>
      <c r="R290" t="s">
        <v>91</v>
      </c>
      <c r="S290" t="s">
        <v>34</v>
      </c>
      <c r="T290">
        <v>22</v>
      </c>
      <c r="U290">
        <v>432304436</v>
      </c>
      <c r="V290" t="s">
        <v>65</v>
      </c>
      <c r="W290" s="1">
        <v>45120</v>
      </c>
      <c r="X290" s="1">
        <v>45122</v>
      </c>
      <c r="Y290" s="5">
        <f>IF(Table1[[#This Row],[NPA_Flag]]=1, Table1[[#This Row],[Outstanding_Amount]], 0)</f>
        <v>0</v>
      </c>
      <c r="Z290" s="1">
        <v>46053</v>
      </c>
    </row>
    <row r="291" spans="1:26" x14ac:dyDescent="0.25">
      <c r="A291" t="s">
        <v>508</v>
      </c>
      <c r="B291" t="s">
        <v>110</v>
      </c>
      <c r="C291" t="s">
        <v>78</v>
      </c>
      <c r="D291" t="s">
        <v>61</v>
      </c>
      <c r="E291" t="s">
        <v>102</v>
      </c>
      <c r="F291" t="s">
        <v>46</v>
      </c>
      <c r="G291">
        <v>8190406</v>
      </c>
      <c r="H291">
        <v>6846679</v>
      </c>
      <c r="I291">
        <v>1343727</v>
      </c>
      <c r="J291">
        <v>0.84</v>
      </c>
      <c r="K291">
        <v>14.34</v>
      </c>
      <c r="L291">
        <v>10</v>
      </c>
      <c r="M291" t="s">
        <v>31</v>
      </c>
      <c r="N291">
        <v>0</v>
      </c>
      <c r="O291" t="s">
        <v>32</v>
      </c>
      <c r="P291">
        <v>0</v>
      </c>
      <c r="Q291">
        <v>2</v>
      </c>
      <c r="R291" t="s">
        <v>33</v>
      </c>
      <c r="S291" t="s">
        <v>79</v>
      </c>
      <c r="T291">
        <v>22</v>
      </c>
      <c r="U291">
        <v>92017004</v>
      </c>
      <c r="V291" t="s">
        <v>65</v>
      </c>
      <c r="W291" s="1">
        <v>44140</v>
      </c>
      <c r="X291" s="1">
        <v>44149</v>
      </c>
      <c r="Y291" s="5">
        <f>IF(Table1[[#This Row],[NPA_Flag]]=1, Table1[[#This Row],[Outstanding_Amount]], 0)</f>
        <v>0</v>
      </c>
      <c r="Z291" s="1">
        <v>46053</v>
      </c>
    </row>
    <row r="292" spans="1:26" x14ac:dyDescent="0.25">
      <c r="A292" t="s">
        <v>509</v>
      </c>
      <c r="B292" t="s">
        <v>127</v>
      </c>
      <c r="C292" t="s">
        <v>38</v>
      </c>
      <c r="D292" t="s">
        <v>39</v>
      </c>
      <c r="E292" t="s">
        <v>97</v>
      </c>
      <c r="F292" t="s">
        <v>30</v>
      </c>
      <c r="G292">
        <v>9199585</v>
      </c>
      <c r="H292">
        <v>5614247</v>
      </c>
      <c r="I292">
        <v>3585338</v>
      </c>
      <c r="J292">
        <v>0.61</v>
      </c>
      <c r="K292">
        <v>12.05</v>
      </c>
      <c r="L292">
        <v>17</v>
      </c>
      <c r="M292" t="s">
        <v>31</v>
      </c>
      <c r="N292">
        <v>0</v>
      </c>
      <c r="O292" t="s">
        <v>32</v>
      </c>
      <c r="P292">
        <v>1</v>
      </c>
      <c r="Q292">
        <v>3</v>
      </c>
      <c r="R292" t="s">
        <v>47</v>
      </c>
      <c r="S292" t="s">
        <v>34</v>
      </c>
      <c r="T292">
        <v>4</v>
      </c>
      <c r="U292">
        <v>29288777</v>
      </c>
      <c r="V292" t="s">
        <v>49</v>
      </c>
      <c r="W292" s="1">
        <v>44755</v>
      </c>
      <c r="X292" s="1">
        <v>44757</v>
      </c>
      <c r="Y292" s="5">
        <f>IF(Table1[[#This Row],[NPA_Flag]]=1, Table1[[#This Row],[Outstanding_Amount]], 0)</f>
        <v>0</v>
      </c>
      <c r="Z292" s="1">
        <v>46053</v>
      </c>
    </row>
    <row r="293" spans="1:26" x14ac:dyDescent="0.25">
      <c r="A293" t="s">
        <v>510</v>
      </c>
      <c r="B293" t="s">
        <v>511</v>
      </c>
      <c r="C293" t="s">
        <v>27</v>
      </c>
      <c r="D293" t="s">
        <v>61</v>
      </c>
      <c r="E293" t="s">
        <v>73</v>
      </c>
      <c r="F293" t="s">
        <v>68</v>
      </c>
      <c r="G293">
        <v>13092252</v>
      </c>
      <c r="H293">
        <v>9547994</v>
      </c>
      <c r="I293">
        <v>3544258</v>
      </c>
      <c r="J293">
        <v>0.73</v>
      </c>
      <c r="K293">
        <v>13.56</v>
      </c>
      <c r="L293">
        <v>10</v>
      </c>
      <c r="M293" t="s">
        <v>31</v>
      </c>
      <c r="N293">
        <v>0</v>
      </c>
      <c r="O293" t="s">
        <v>32</v>
      </c>
      <c r="P293">
        <v>1</v>
      </c>
      <c r="Q293">
        <v>0</v>
      </c>
      <c r="R293" t="s">
        <v>33</v>
      </c>
      <c r="S293" t="s">
        <v>57</v>
      </c>
      <c r="T293">
        <v>23</v>
      </c>
      <c r="U293">
        <v>321498576</v>
      </c>
      <c r="V293" t="s">
        <v>65</v>
      </c>
      <c r="W293" s="1">
        <v>43956</v>
      </c>
      <c r="X293" s="1">
        <v>43964</v>
      </c>
      <c r="Y293" s="5">
        <f>IF(Table1[[#This Row],[NPA_Flag]]=1, Table1[[#This Row],[Outstanding_Amount]], 0)</f>
        <v>0</v>
      </c>
      <c r="Z293" s="1">
        <v>46053</v>
      </c>
    </row>
    <row r="294" spans="1:26" x14ac:dyDescent="0.25">
      <c r="A294" t="s">
        <v>512</v>
      </c>
      <c r="B294" t="s">
        <v>412</v>
      </c>
      <c r="C294" t="s">
        <v>44</v>
      </c>
      <c r="D294" t="s">
        <v>61</v>
      </c>
      <c r="E294" t="s">
        <v>82</v>
      </c>
      <c r="F294" t="s">
        <v>46</v>
      </c>
      <c r="G294">
        <v>6624571</v>
      </c>
      <c r="H294">
        <v>4398761</v>
      </c>
      <c r="I294">
        <v>2225810</v>
      </c>
      <c r="J294">
        <v>0.66</v>
      </c>
      <c r="K294">
        <v>12.42</v>
      </c>
      <c r="L294">
        <v>5</v>
      </c>
      <c r="M294" t="s">
        <v>31</v>
      </c>
      <c r="N294">
        <v>0</v>
      </c>
      <c r="O294" t="s">
        <v>32</v>
      </c>
      <c r="P294">
        <v>1</v>
      </c>
      <c r="Q294">
        <v>3</v>
      </c>
      <c r="R294" t="s">
        <v>47</v>
      </c>
      <c r="S294" t="s">
        <v>34</v>
      </c>
      <c r="T294">
        <v>17</v>
      </c>
      <c r="U294">
        <v>225601483</v>
      </c>
      <c r="V294" t="s">
        <v>65</v>
      </c>
      <c r="W294" s="1">
        <v>44743</v>
      </c>
      <c r="X294" s="1">
        <v>44750</v>
      </c>
      <c r="Y294" s="5">
        <f>IF(Table1[[#This Row],[NPA_Flag]]=1, Table1[[#This Row],[Outstanding_Amount]], 0)</f>
        <v>0</v>
      </c>
      <c r="Z294" s="1">
        <v>46053</v>
      </c>
    </row>
    <row r="295" spans="1:26" x14ac:dyDescent="0.25">
      <c r="A295" t="s">
        <v>513</v>
      </c>
      <c r="B295" t="s">
        <v>37</v>
      </c>
      <c r="C295" t="s">
        <v>78</v>
      </c>
      <c r="D295" t="s">
        <v>61</v>
      </c>
      <c r="E295" t="s">
        <v>29</v>
      </c>
      <c r="F295" t="s">
        <v>68</v>
      </c>
      <c r="G295">
        <v>6661081</v>
      </c>
      <c r="H295">
        <v>5422998</v>
      </c>
      <c r="I295">
        <v>1238083</v>
      </c>
      <c r="J295">
        <v>0.81</v>
      </c>
      <c r="K295">
        <v>10.4</v>
      </c>
      <c r="L295">
        <v>9</v>
      </c>
      <c r="M295" t="s">
        <v>31</v>
      </c>
      <c r="N295">
        <v>0</v>
      </c>
      <c r="O295" t="s">
        <v>32</v>
      </c>
      <c r="P295">
        <v>0</v>
      </c>
      <c r="Q295">
        <v>1</v>
      </c>
      <c r="R295" t="s">
        <v>33</v>
      </c>
      <c r="S295" t="s">
        <v>79</v>
      </c>
      <c r="T295">
        <v>1</v>
      </c>
      <c r="U295">
        <v>42332679</v>
      </c>
      <c r="V295" t="s">
        <v>58</v>
      </c>
      <c r="W295" s="1">
        <v>44694</v>
      </c>
      <c r="X295" s="1">
        <v>44697</v>
      </c>
      <c r="Y295" s="5">
        <f>IF(Table1[[#This Row],[NPA_Flag]]=1, Table1[[#This Row],[Outstanding_Amount]], 0)</f>
        <v>0</v>
      </c>
      <c r="Z295" s="1">
        <v>46053</v>
      </c>
    </row>
    <row r="296" spans="1:26" x14ac:dyDescent="0.25">
      <c r="A296" t="s">
        <v>514</v>
      </c>
      <c r="B296" t="s">
        <v>392</v>
      </c>
      <c r="C296" t="s">
        <v>44</v>
      </c>
      <c r="D296" t="s">
        <v>39</v>
      </c>
      <c r="E296" t="s">
        <v>85</v>
      </c>
      <c r="F296" t="s">
        <v>30</v>
      </c>
      <c r="G296">
        <v>13820020</v>
      </c>
      <c r="H296">
        <v>12283540</v>
      </c>
      <c r="I296">
        <v>1536480</v>
      </c>
      <c r="J296">
        <v>0.89</v>
      </c>
      <c r="K296">
        <v>11.04</v>
      </c>
      <c r="L296">
        <v>27</v>
      </c>
      <c r="M296" t="s">
        <v>31</v>
      </c>
      <c r="N296">
        <v>0</v>
      </c>
      <c r="O296" t="s">
        <v>32</v>
      </c>
      <c r="P296">
        <v>0</v>
      </c>
      <c r="Q296">
        <v>3</v>
      </c>
      <c r="R296" t="s">
        <v>47</v>
      </c>
      <c r="S296" t="s">
        <v>64</v>
      </c>
      <c r="T296">
        <v>8</v>
      </c>
      <c r="U296">
        <v>40309997</v>
      </c>
      <c r="V296" t="s">
        <v>49</v>
      </c>
      <c r="W296" s="1">
        <v>44607</v>
      </c>
      <c r="X296" s="1">
        <v>44611</v>
      </c>
      <c r="Y296" s="5">
        <f>IF(Table1[[#This Row],[NPA_Flag]]=1, Table1[[#This Row],[Outstanding_Amount]], 0)</f>
        <v>0</v>
      </c>
      <c r="Z296" s="1">
        <v>46053</v>
      </c>
    </row>
    <row r="297" spans="1:26" x14ac:dyDescent="0.25">
      <c r="A297" t="s">
        <v>515</v>
      </c>
      <c r="B297" t="s">
        <v>306</v>
      </c>
      <c r="C297" t="s">
        <v>44</v>
      </c>
      <c r="D297" t="s">
        <v>39</v>
      </c>
      <c r="E297" t="s">
        <v>53</v>
      </c>
      <c r="F297" t="s">
        <v>30</v>
      </c>
      <c r="G297">
        <v>4653119</v>
      </c>
      <c r="H297">
        <v>3045684</v>
      </c>
      <c r="I297">
        <v>1607435</v>
      </c>
      <c r="J297">
        <v>0.65</v>
      </c>
      <c r="K297">
        <v>9.93</v>
      </c>
      <c r="L297">
        <v>27</v>
      </c>
      <c r="M297" t="s">
        <v>31</v>
      </c>
      <c r="N297">
        <v>0</v>
      </c>
      <c r="O297" t="s">
        <v>32</v>
      </c>
      <c r="P297">
        <v>1</v>
      </c>
      <c r="Q297">
        <v>2</v>
      </c>
      <c r="R297" t="s">
        <v>91</v>
      </c>
      <c r="S297" t="s">
        <v>48</v>
      </c>
      <c r="T297">
        <v>20</v>
      </c>
      <c r="U297">
        <v>488492703</v>
      </c>
      <c r="V297" t="s">
        <v>58</v>
      </c>
      <c r="W297" s="1">
        <v>43906</v>
      </c>
      <c r="X297" s="1">
        <v>43914</v>
      </c>
      <c r="Y297" s="5">
        <f>IF(Table1[[#This Row],[NPA_Flag]]=1, Table1[[#This Row],[Outstanding_Amount]], 0)</f>
        <v>0</v>
      </c>
      <c r="Z297" s="1">
        <v>46053</v>
      </c>
    </row>
    <row r="298" spans="1:26" x14ac:dyDescent="0.25">
      <c r="A298" t="s">
        <v>516</v>
      </c>
      <c r="B298" t="s">
        <v>517</v>
      </c>
      <c r="C298" t="s">
        <v>38</v>
      </c>
      <c r="D298" t="s">
        <v>28</v>
      </c>
      <c r="E298" t="s">
        <v>40</v>
      </c>
      <c r="F298" t="s">
        <v>30</v>
      </c>
      <c r="G298">
        <v>10462057</v>
      </c>
      <c r="H298">
        <v>7433783</v>
      </c>
      <c r="I298">
        <v>3028274</v>
      </c>
      <c r="J298">
        <v>0.71</v>
      </c>
      <c r="K298">
        <v>9.24</v>
      </c>
      <c r="L298">
        <v>37</v>
      </c>
      <c r="M298" t="s">
        <v>55</v>
      </c>
      <c r="N298">
        <v>0</v>
      </c>
      <c r="O298" t="s">
        <v>56</v>
      </c>
      <c r="P298">
        <v>0</v>
      </c>
      <c r="Q298">
        <v>0</v>
      </c>
      <c r="R298" t="s">
        <v>47</v>
      </c>
      <c r="S298" t="s">
        <v>48</v>
      </c>
      <c r="T298">
        <v>9</v>
      </c>
      <c r="U298">
        <v>381816624</v>
      </c>
      <c r="V298" t="s">
        <v>58</v>
      </c>
      <c r="W298" s="1">
        <v>43869</v>
      </c>
      <c r="X298" s="1">
        <v>43874</v>
      </c>
      <c r="Y298" s="5">
        <f>IF(Table1[[#This Row],[NPA_Flag]]=1, Table1[[#This Row],[Outstanding_Amount]], 0)</f>
        <v>0</v>
      </c>
      <c r="Z298" s="1">
        <v>46053</v>
      </c>
    </row>
    <row r="299" spans="1:26" x14ac:dyDescent="0.25">
      <c r="A299" t="s">
        <v>518</v>
      </c>
      <c r="B299" t="s">
        <v>468</v>
      </c>
      <c r="C299" t="s">
        <v>27</v>
      </c>
      <c r="D299" t="s">
        <v>39</v>
      </c>
      <c r="E299" t="s">
        <v>73</v>
      </c>
      <c r="F299" t="s">
        <v>68</v>
      </c>
      <c r="G299">
        <v>4701919</v>
      </c>
      <c r="H299">
        <v>3675554</v>
      </c>
      <c r="I299">
        <v>1026365</v>
      </c>
      <c r="J299">
        <v>0.78</v>
      </c>
      <c r="K299">
        <v>10.06</v>
      </c>
      <c r="L299">
        <v>48</v>
      </c>
      <c r="M299" t="s">
        <v>55</v>
      </c>
      <c r="N299">
        <v>0</v>
      </c>
      <c r="O299" t="s">
        <v>56</v>
      </c>
      <c r="P299">
        <v>0</v>
      </c>
      <c r="Q299">
        <v>4</v>
      </c>
      <c r="R299" t="s">
        <v>91</v>
      </c>
      <c r="S299" t="s">
        <v>34</v>
      </c>
      <c r="T299">
        <v>23</v>
      </c>
      <c r="U299">
        <v>102905017</v>
      </c>
      <c r="V299" t="s">
        <v>58</v>
      </c>
      <c r="W299" s="1">
        <v>45113</v>
      </c>
      <c r="X299" s="1">
        <v>45119</v>
      </c>
      <c r="Y299" s="5">
        <f>IF(Table1[[#This Row],[NPA_Flag]]=1, Table1[[#This Row],[Outstanding_Amount]], 0)</f>
        <v>0</v>
      </c>
      <c r="Z299" s="1">
        <v>46053</v>
      </c>
    </row>
    <row r="300" spans="1:26" x14ac:dyDescent="0.25">
      <c r="A300" t="s">
        <v>519</v>
      </c>
      <c r="B300" t="s">
        <v>147</v>
      </c>
      <c r="C300" t="s">
        <v>44</v>
      </c>
      <c r="D300" t="s">
        <v>52</v>
      </c>
      <c r="E300" t="s">
        <v>94</v>
      </c>
      <c r="F300" t="s">
        <v>68</v>
      </c>
      <c r="G300">
        <v>11461758</v>
      </c>
      <c r="H300">
        <v>8975538</v>
      </c>
      <c r="I300">
        <v>2486220</v>
      </c>
      <c r="J300">
        <v>0.78</v>
      </c>
      <c r="K300">
        <v>14.09</v>
      </c>
      <c r="L300">
        <v>15</v>
      </c>
      <c r="M300" t="s">
        <v>31</v>
      </c>
      <c r="N300">
        <v>0</v>
      </c>
      <c r="O300" t="s">
        <v>32</v>
      </c>
      <c r="P300">
        <v>0</v>
      </c>
      <c r="Q300">
        <v>1</v>
      </c>
      <c r="R300" t="s">
        <v>33</v>
      </c>
      <c r="S300" t="s">
        <v>48</v>
      </c>
      <c r="T300">
        <v>15</v>
      </c>
      <c r="U300">
        <v>70170602</v>
      </c>
      <c r="V300" t="s">
        <v>49</v>
      </c>
      <c r="W300" s="1">
        <v>44007</v>
      </c>
      <c r="X300" s="1">
        <v>44012</v>
      </c>
      <c r="Y300" s="5">
        <f>IF(Table1[[#This Row],[NPA_Flag]]=1, Table1[[#This Row],[Outstanding_Amount]], 0)</f>
        <v>0</v>
      </c>
      <c r="Z300" s="1">
        <v>46053</v>
      </c>
    </row>
    <row r="301" spans="1:26" x14ac:dyDescent="0.25">
      <c r="A301" t="s">
        <v>520</v>
      </c>
      <c r="B301" t="s">
        <v>521</v>
      </c>
      <c r="C301" t="s">
        <v>38</v>
      </c>
      <c r="D301" t="s">
        <v>39</v>
      </c>
      <c r="E301" t="s">
        <v>82</v>
      </c>
      <c r="F301" t="s">
        <v>30</v>
      </c>
      <c r="G301">
        <v>3226284</v>
      </c>
      <c r="H301">
        <v>2554410</v>
      </c>
      <c r="I301">
        <v>671874</v>
      </c>
      <c r="J301">
        <v>0.79</v>
      </c>
      <c r="K301">
        <v>12.1</v>
      </c>
      <c r="L301">
        <v>27</v>
      </c>
      <c r="M301" t="s">
        <v>31</v>
      </c>
      <c r="N301">
        <v>0</v>
      </c>
      <c r="O301" t="s">
        <v>32</v>
      </c>
      <c r="P301">
        <v>1</v>
      </c>
      <c r="Q301">
        <v>5</v>
      </c>
      <c r="R301" t="s">
        <v>91</v>
      </c>
      <c r="S301" t="s">
        <v>57</v>
      </c>
      <c r="T301">
        <v>6</v>
      </c>
      <c r="U301">
        <v>439706351</v>
      </c>
      <c r="V301" t="s">
        <v>58</v>
      </c>
      <c r="W301" s="1">
        <v>44115</v>
      </c>
      <c r="X301" s="1">
        <v>44116</v>
      </c>
      <c r="Y301" s="5">
        <f>IF(Table1[[#This Row],[NPA_Flag]]=1, Table1[[#This Row],[Outstanding_Amount]], 0)</f>
        <v>0</v>
      </c>
      <c r="Z301" s="1">
        <v>46053</v>
      </c>
    </row>
  </sheetData>
  <pageMargins left="0.7" right="0.7" top="0.75" bottom="0.75" header="0.3" footer="0.3"/>
  <pageSetup paperSize="9"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2" sqref="J12"/>
    </sheetView>
  </sheetViews>
  <sheetFormatPr defaultRowHeight="15" x14ac:dyDescent="0.25"/>
  <cols>
    <col min="1" max="1" width="34.5703125" bestFit="1" customWidth="1"/>
    <col min="2" max="2" width="11" bestFit="1" customWidth="1"/>
    <col min="5" max="5" width="19.7109375" customWidth="1"/>
    <col min="6" max="6" width="11.7109375" customWidth="1"/>
    <col min="7" max="7" width="11" customWidth="1"/>
    <col min="8" max="8" width="4.85546875" customWidth="1"/>
  </cols>
  <sheetData>
    <row r="1" spans="1:7" x14ac:dyDescent="0.25">
      <c r="A1" s="15" t="s">
        <v>522</v>
      </c>
      <c r="B1" s="15">
        <f>SUM(Table1[Outstanding_Amount])</f>
        <v>2062659900</v>
      </c>
    </row>
    <row r="2" spans="1:7" x14ac:dyDescent="0.25">
      <c r="A2" s="15" t="s">
        <v>523</v>
      </c>
      <c r="B2" s="15">
        <f>SUMIFS(Table1[Outstanding_Amount],Table1[NPA_Flag],1)/SUM(Table1[Outstanding_Amount])</f>
        <v>3.0279296165111855E-2</v>
      </c>
    </row>
    <row r="3" spans="1:7" x14ac:dyDescent="0.25">
      <c r="A3" s="15" t="s">
        <v>524</v>
      </c>
      <c r="B3" s="15">
        <f>SUMIFS(Table1[Outstanding_Amount],Table1[Risk_Category],"High")/SUM(Table1[Outstanding_Amount])</f>
        <v>6.635974015881145E-2</v>
      </c>
    </row>
    <row r="4" spans="1:7" x14ac:dyDescent="0.25">
      <c r="A4" s="15" t="s">
        <v>526</v>
      </c>
      <c r="B4" s="15">
        <f>SUMIFS(Table1[Outstanding_Amount],Table1[Sector],"Manufacturing")/SUM(Table1[Outstanding_Amount])*100</f>
        <v>27.345268844369354</v>
      </c>
    </row>
    <row r="5" spans="1:7" x14ac:dyDescent="0.25">
      <c r="A5" s="15" t="s">
        <v>525</v>
      </c>
      <c r="B5" s="15">
        <f>AVERAGE(Table1[Limit_Utilization_%])*100</f>
        <v>78.289999999999964</v>
      </c>
    </row>
    <row r="6" spans="1:7" x14ac:dyDescent="0.25">
      <c r="A6" s="15" t="s">
        <v>531</v>
      </c>
      <c r="B6" s="15">
        <f>COUNTA(Table1[Customer_ID])</f>
        <v>300</v>
      </c>
    </row>
    <row r="7" spans="1:7" x14ac:dyDescent="0.25">
      <c r="A7" s="15" t="s">
        <v>534</v>
      </c>
      <c r="B7" s="15" t="str">
        <f>INDEX(E8:E11, MATCH(MAX(F8:F11), F8:F11,0))</f>
        <v>Delhi_North</v>
      </c>
      <c r="E7" s="15" t="s">
        <v>2</v>
      </c>
      <c r="F7" s="15" t="s">
        <v>533</v>
      </c>
      <c r="G7" s="15" t="s">
        <v>536</v>
      </c>
    </row>
    <row r="8" spans="1:7" x14ac:dyDescent="0.25">
      <c r="A8" s="15" t="s">
        <v>535</v>
      </c>
      <c r="B8" s="15" t="str">
        <f>INDEX(E8:E11,MATCH(MAX(G8:G11),G8:G11,0))</f>
        <v>Kolkata_East</v>
      </c>
      <c r="E8" s="15" t="s">
        <v>78</v>
      </c>
      <c r="F8" s="15">
        <f>SUMIFS(Table1[Outstanding_Amount],Table1[Branch],E8)</f>
        <v>586681066</v>
      </c>
      <c r="G8" s="15">
        <f>SUMIFS(Table1[Outstanding_Amount],Table1[Branch],E8,Table1[NPA_Flag],1)/SUMIFS(Table1[Outstanding_Amount],Table1[Branch],E8)*100</f>
        <v>0</v>
      </c>
    </row>
    <row r="9" spans="1:7" x14ac:dyDescent="0.25">
      <c r="E9" s="15" t="s">
        <v>27</v>
      </c>
      <c r="F9" s="15">
        <f>SUMIFS(Table1[Outstanding_Amount],Table1[Branch],E9)</f>
        <v>569128135</v>
      </c>
      <c r="G9" s="15">
        <f>SUMIFS(Table1[Outstanding_Amount],Table1[Branch],E9,Table1[NPA_Flag],1)/SUMIFS(Table1[Outstanding_Amount],Table1[Branch],E9)*100</f>
        <v>2.7366817843226112</v>
      </c>
    </row>
    <row r="10" spans="1:7" x14ac:dyDescent="0.25">
      <c r="E10" s="15" t="s">
        <v>38</v>
      </c>
      <c r="F10" s="15">
        <f>SUMIFS(Table1[Outstanding_Amount],Table1[Branch],E10)</f>
        <v>535687904</v>
      </c>
      <c r="G10" s="15">
        <f>SUMIFS(Table1[Outstanding_Amount],Table1[Branch],E10,Table1[NPA_Flag],1)/SUMIFS(Table1[Outstanding_Amount],Table1[Branch],E10)*100</f>
        <v>8.7514882546237232</v>
      </c>
    </row>
    <row r="11" spans="1:7" x14ac:dyDescent="0.25">
      <c r="E11" s="15" t="s">
        <v>44</v>
      </c>
      <c r="F11" s="15">
        <f>SUMIFS(Table1[Outstanding_Amount],Table1[Branch],E11)</f>
        <v>371162795</v>
      </c>
      <c r="G11" s="15">
        <f>SUMIFS(Table1[Outstanding_Amount],Table1[Branch],E11,Table1[NPA_Flag],1)/SUMIFS(Table1[Outstanding_Amount],Table1[Branch],E11)*100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"/>
  <sheetViews>
    <sheetView workbookViewId="0">
      <selection sqref="A1:Y74"/>
    </sheetView>
  </sheetViews>
  <sheetFormatPr defaultRowHeight="15" x14ac:dyDescent="0.25"/>
  <cols>
    <col min="1" max="1" width="10.140625" customWidth="1"/>
    <col min="2" max="2" width="14.5703125" customWidth="1"/>
    <col min="4" max="4" width="9.28515625" customWidth="1"/>
    <col min="5" max="5" width="23.140625" customWidth="1"/>
    <col min="6" max="6" width="15.28515625" customWidth="1"/>
    <col min="7" max="7" width="18.85546875" customWidth="1"/>
    <col min="8" max="8" width="22.140625" customWidth="1"/>
    <col min="9" max="9" width="16.7109375" customWidth="1"/>
    <col min="10" max="10" width="20.42578125" customWidth="1"/>
    <col min="11" max="11" width="15.140625" customWidth="1"/>
    <col min="12" max="12" width="16.5703125" customWidth="1"/>
    <col min="13" max="13" width="16.140625" customWidth="1"/>
    <col min="14" max="14" width="11.5703125" customWidth="1"/>
    <col min="15" max="15" width="15.5703125" customWidth="1"/>
    <col min="16" max="16" width="19.140625" customWidth="1"/>
    <col min="17" max="17" width="24.28515625" customWidth="1"/>
    <col min="19" max="19" width="18.7109375" customWidth="1"/>
    <col min="20" max="20" width="19.42578125" customWidth="1"/>
    <col min="21" max="21" width="18.42578125" customWidth="1"/>
    <col min="22" max="22" width="23.140625" customWidth="1"/>
    <col min="23" max="23" width="15.85546875" customWidth="1"/>
    <col min="24" max="24" width="20.7109375" customWidth="1"/>
    <col min="25" max="25" width="18.85546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520</v>
      </c>
      <c r="B2" t="s">
        <v>521</v>
      </c>
      <c r="C2" t="s">
        <v>38</v>
      </c>
      <c r="D2" t="s">
        <v>39</v>
      </c>
      <c r="E2" t="s">
        <v>82</v>
      </c>
      <c r="F2" t="s">
        <v>30</v>
      </c>
      <c r="G2">
        <v>3226284</v>
      </c>
      <c r="H2">
        <v>2554410</v>
      </c>
      <c r="I2">
        <v>671874</v>
      </c>
      <c r="J2">
        <v>0.79</v>
      </c>
      <c r="K2">
        <v>12.1</v>
      </c>
      <c r="L2">
        <v>27</v>
      </c>
      <c r="M2" t="s">
        <v>31</v>
      </c>
      <c r="N2">
        <v>0</v>
      </c>
      <c r="O2" t="s">
        <v>32</v>
      </c>
      <c r="P2">
        <v>1</v>
      </c>
      <c r="Q2">
        <v>5</v>
      </c>
      <c r="R2" t="s">
        <v>91</v>
      </c>
      <c r="S2" t="s">
        <v>57</v>
      </c>
      <c r="T2">
        <v>6</v>
      </c>
      <c r="U2">
        <v>439706351</v>
      </c>
      <c r="V2" t="s">
        <v>58</v>
      </c>
      <c r="W2" s="1">
        <v>44115</v>
      </c>
      <c r="X2" s="1">
        <v>44116</v>
      </c>
      <c r="Y2" s="1">
        <v>46053</v>
      </c>
    </row>
    <row r="3" spans="1:25" x14ac:dyDescent="0.25">
      <c r="A3" t="s">
        <v>518</v>
      </c>
      <c r="B3" t="s">
        <v>468</v>
      </c>
      <c r="C3" t="s">
        <v>27</v>
      </c>
      <c r="D3" t="s">
        <v>39</v>
      </c>
      <c r="E3" t="s">
        <v>73</v>
      </c>
      <c r="F3" t="s">
        <v>68</v>
      </c>
      <c r="G3">
        <v>4701919</v>
      </c>
      <c r="H3">
        <v>3675554</v>
      </c>
      <c r="I3">
        <v>1026365</v>
      </c>
      <c r="J3">
        <v>0.78</v>
      </c>
      <c r="K3">
        <v>10.06</v>
      </c>
      <c r="L3">
        <v>48</v>
      </c>
      <c r="M3" t="s">
        <v>55</v>
      </c>
      <c r="N3">
        <v>0</v>
      </c>
      <c r="O3" t="s">
        <v>56</v>
      </c>
      <c r="P3">
        <v>0</v>
      </c>
      <c r="Q3">
        <v>4</v>
      </c>
      <c r="R3" t="s">
        <v>91</v>
      </c>
      <c r="S3" t="s">
        <v>34</v>
      </c>
      <c r="T3">
        <v>23</v>
      </c>
      <c r="U3">
        <v>102905017</v>
      </c>
      <c r="V3" t="s">
        <v>58</v>
      </c>
      <c r="W3" s="1">
        <v>45113</v>
      </c>
      <c r="X3" s="1">
        <v>45119</v>
      </c>
      <c r="Y3" s="1">
        <v>46053</v>
      </c>
    </row>
    <row r="4" spans="1:25" x14ac:dyDescent="0.25">
      <c r="A4" t="s">
        <v>515</v>
      </c>
      <c r="B4" t="s">
        <v>306</v>
      </c>
      <c r="C4" t="s">
        <v>44</v>
      </c>
      <c r="D4" t="s">
        <v>39</v>
      </c>
      <c r="E4" t="s">
        <v>53</v>
      </c>
      <c r="F4" t="s">
        <v>30</v>
      </c>
      <c r="G4">
        <v>4653119</v>
      </c>
      <c r="H4">
        <v>3045684</v>
      </c>
      <c r="I4">
        <v>1607435</v>
      </c>
      <c r="J4">
        <v>0.65</v>
      </c>
      <c r="K4">
        <v>9.93</v>
      </c>
      <c r="L4">
        <v>27</v>
      </c>
      <c r="M4" t="s">
        <v>31</v>
      </c>
      <c r="N4">
        <v>0</v>
      </c>
      <c r="O4" t="s">
        <v>32</v>
      </c>
      <c r="P4">
        <v>1</v>
      </c>
      <c r="Q4">
        <v>2</v>
      </c>
      <c r="R4" t="s">
        <v>91</v>
      </c>
      <c r="S4" t="s">
        <v>48</v>
      </c>
      <c r="T4">
        <v>20</v>
      </c>
      <c r="U4">
        <v>488492703</v>
      </c>
      <c r="V4" t="s">
        <v>58</v>
      </c>
      <c r="W4" s="1">
        <v>43906</v>
      </c>
      <c r="X4" s="1">
        <v>43914</v>
      </c>
      <c r="Y4" s="1">
        <v>46053</v>
      </c>
    </row>
    <row r="5" spans="1:25" x14ac:dyDescent="0.25">
      <c r="A5" t="s">
        <v>507</v>
      </c>
      <c r="B5" t="s">
        <v>26</v>
      </c>
      <c r="C5" t="s">
        <v>78</v>
      </c>
      <c r="D5" t="s">
        <v>61</v>
      </c>
      <c r="E5" t="s">
        <v>29</v>
      </c>
      <c r="F5" t="s">
        <v>54</v>
      </c>
      <c r="G5">
        <v>11148267</v>
      </c>
      <c r="H5">
        <v>8698898</v>
      </c>
      <c r="I5">
        <v>2449369</v>
      </c>
      <c r="J5">
        <v>0.78</v>
      </c>
      <c r="K5">
        <v>12.17</v>
      </c>
      <c r="L5">
        <v>14</v>
      </c>
      <c r="M5" t="s">
        <v>31</v>
      </c>
      <c r="N5">
        <v>0</v>
      </c>
      <c r="O5" t="s">
        <v>32</v>
      </c>
      <c r="P5">
        <v>0</v>
      </c>
      <c r="Q5">
        <v>5</v>
      </c>
      <c r="R5" t="s">
        <v>91</v>
      </c>
      <c r="S5" t="s">
        <v>34</v>
      </c>
      <c r="T5">
        <v>22</v>
      </c>
      <c r="U5">
        <v>432304436</v>
      </c>
      <c r="V5" t="s">
        <v>65</v>
      </c>
      <c r="W5" s="1">
        <v>45120</v>
      </c>
      <c r="X5" s="1">
        <v>45122</v>
      </c>
      <c r="Y5" s="1">
        <v>46053</v>
      </c>
    </row>
    <row r="6" spans="1:25" x14ac:dyDescent="0.25">
      <c r="A6" t="s">
        <v>502</v>
      </c>
      <c r="B6" t="s">
        <v>503</v>
      </c>
      <c r="C6" t="s">
        <v>78</v>
      </c>
      <c r="D6" t="s">
        <v>61</v>
      </c>
      <c r="E6" t="s">
        <v>53</v>
      </c>
      <c r="F6" t="s">
        <v>30</v>
      </c>
      <c r="G6">
        <v>8681635</v>
      </c>
      <c r="H6">
        <v>8193512</v>
      </c>
      <c r="I6">
        <v>488123</v>
      </c>
      <c r="J6">
        <v>0.94</v>
      </c>
      <c r="K6">
        <v>11.6</v>
      </c>
      <c r="L6">
        <v>25</v>
      </c>
      <c r="M6" t="s">
        <v>31</v>
      </c>
      <c r="N6">
        <v>0</v>
      </c>
      <c r="O6" t="s">
        <v>32</v>
      </c>
      <c r="P6">
        <v>0</v>
      </c>
      <c r="Q6">
        <v>1</v>
      </c>
      <c r="R6" t="s">
        <v>91</v>
      </c>
      <c r="S6" t="s">
        <v>57</v>
      </c>
      <c r="T6">
        <v>25</v>
      </c>
      <c r="U6">
        <v>111991591</v>
      </c>
      <c r="V6" t="s">
        <v>58</v>
      </c>
      <c r="W6" s="1">
        <v>44736</v>
      </c>
      <c r="X6" s="1">
        <v>44737</v>
      </c>
      <c r="Y6" s="1">
        <v>46053</v>
      </c>
    </row>
    <row r="7" spans="1:25" x14ac:dyDescent="0.25">
      <c r="A7" t="s">
        <v>495</v>
      </c>
      <c r="B7" t="s">
        <v>496</v>
      </c>
      <c r="C7" t="s">
        <v>78</v>
      </c>
      <c r="D7" t="s">
        <v>39</v>
      </c>
      <c r="E7" t="s">
        <v>94</v>
      </c>
      <c r="F7" t="s">
        <v>54</v>
      </c>
      <c r="G7">
        <v>6174186</v>
      </c>
      <c r="H7">
        <v>5801894</v>
      </c>
      <c r="I7">
        <v>372292</v>
      </c>
      <c r="J7">
        <v>0.94</v>
      </c>
      <c r="K7">
        <v>11.77</v>
      </c>
      <c r="L7">
        <v>11</v>
      </c>
      <c r="M7" t="s">
        <v>31</v>
      </c>
      <c r="N7">
        <v>0</v>
      </c>
      <c r="O7" t="s">
        <v>32</v>
      </c>
      <c r="P7">
        <v>1</v>
      </c>
      <c r="Q7">
        <v>2</v>
      </c>
      <c r="R7" t="s">
        <v>91</v>
      </c>
      <c r="S7" t="s">
        <v>34</v>
      </c>
      <c r="T7">
        <v>12</v>
      </c>
      <c r="U7">
        <v>179791588</v>
      </c>
      <c r="V7" t="s">
        <v>49</v>
      </c>
      <c r="W7" s="1">
        <v>44153</v>
      </c>
      <c r="X7" s="1">
        <v>44156</v>
      </c>
      <c r="Y7" s="1">
        <v>46053</v>
      </c>
    </row>
    <row r="8" spans="1:25" x14ac:dyDescent="0.25">
      <c r="A8" t="s">
        <v>490</v>
      </c>
      <c r="B8" t="s">
        <v>77</v>
      </c>
      <c r="C8" t="s">
        <v>78</v>
      </c>
      <c r="D8" t="s">
        <v>28</v>
      </c>
      <c r="E8" t="s">
        <v>29</v>
      </c>
      <c r="F8" t="s">
        <v>30</v>
      </c>
      <c r="G8">
        <v>13140523</v>
      </c>
      <c r="H8">
        <v>8984962</v>
      </c>
      <c r="I8">
        <v>4155561</v>
      </c>
      <c r="J8">
        <v>0.68</v>
      </c>
      <c r="K8">
        <v>9.5299999999999994</v>
      </c>
      <c r="L8">
        <v>30</v>
      </c>
      <c r="M8" t="s">
        <v>31</v>
      </c>
      <c r="N8">
        <v>0</v>
      </c>
      <c r="O8" t="s">
        <v>32</v>
      </c>
      <c r="P8">
        <v>0</v>
      </c>
      <c r="Q8">
        <v>5</v>
      </c>
      <c r="R8" t="s">
        <v>91</v>
      </c>
      <c r="S8" t="s">
        <v>57</v>
      </c>
      <c r="T8">
        <v>20</v>
      </c>
      <c r="U8">
        <v>277070065</v>
      </c>
      <c r="V8" t="s">
        <v>35</v>
      </c>
      <c r="W8" s="1">
        <v>44532</v>
      </c>
      <c r="X8" s="1">
        <v>44541</v>
      </c>
      <c r="Y8" s="1">
        <v>46053</v>
      </c>
    </row>
    <row r="9" spans="1:25" x14ac:dyDescent="0.25">
      <c r="A9" t="s">
        <v>489</v>
      </c>
      <c r="B9" t="s">
        <v>445</v>
      </c>
      <c r="C9" t="s">
        <v>44</v>
      </c>
      <c r="D9" t="s">
        <v>52</v>
      </c>
      <c r="E9" t="s">
        <v>53</v>
      </c>
      <c r="F9" t="s">
        <v>68</v>
      </c>
      <c r="G9">
        <v>6622064</v>
      </c>
      <c r="H9">
        <v>5452052</v>
      </c>
      <c r="I9">
        <v>1170012</v>
      </c>
      <c r="J9">
        <v>0.82</v>
      </c>
      <c r="K9">
        <v>11.82</v>
      </c>
      <c r="L9">
        <v>16</v>
      </c>
      <c r="M9" t="s">
        <v>31</v>
      </c>
      <c r="N9">
        <v>0</v>
      </c>
      <c r="O9" t="s">
        <v>32</v>
      </c>
      <c r="P9">
        <v>1</v>
      </c>
      <c r="Q9">
        <v>5</v>
      </c>
      <c r="R9" t="s">
        <v>91</v>
      </c>
      <c r="S9" t="s">
        <v>48</v>
      </c>
      <c r="T9">
        <v>2</v>
      </c>
      <c r="U9">
        <v>188745315</v>
      </c>
      <c r="V9" t="s">
        <v>49</v>
      </c>
      <c r="W9" s="1">
        <v>43996</v>
      </c>
      <c r="X9" s="1">
        <v>44000</v>
      </c>
      <c r="Y9" s="1">
        <v>46053</v>
      </c>
    </row>
    <row r="10" spans="1:25" x14ac:dyDescent="0.25">
      <c r="A10" t="s">
        <v>488</v>
      </c>
      <c r="B10" t="s">
        <v>360</v>
      </c>
      <c r="C10" t="s">
        <v>44</v>
      </c>
      <c r="D10" t="s">
        <v>61</v>
      </c>
      <c r="E10" t="s">
        <v>94</v>
      </c>
      <c r="F10" t="s">
        <v>30</v>
      </c>
      <c r="G10">
        <v>4337169</v>
      </c>
      <c r="H10">
        <v>3528936</v>
      </c>
      <c r="I10">
        <v>808233</v>
      </c>
      <c r="J10">
        <v>0.81</v>
      </c>
      <c r="K10">
        <v>14.42</v>
      </c>
      <c r="L10">
        <v>28</v>
      </c>
      <c r="M10" t="s">
        <v>31</v>
      </c>
      <c r="N10">
        <v>0</v>
      </c>
      <c r="O10" t="s">
        <v>32</v>
      </c>
      <c r="P10">
        <v>0</v>
      </c>
      <c r="Q10">
        <v>1</v>
      </c>
      <c r="R10" t="s">
        <v>91</v>
      </c>
      <c r="S10" t="s">
        <v>64</v>
      </c>
      <c r="T10">
        <v>14</v>
      </c>
      <c r="U10">
        <v>314915960</v>
      </c>
      <c r="V10" t="s">
        <v>49</v>
      </c>
      <c r="W10" s="1">
        <v>44499</v>
      </c>
      <c r="X10" s="1">
        <v>44504</v>
      </c>
      <c r="Y10" s="1">
        <v>46053</v>
      </c>
    </row>
    <row r="11" spans="1:25" x14ac:dyDescent="0.25">
      <c r="A11" t="s">
        <v>487</v>
      </c>
      <c r="B11" t="s">
        <v>196</v>
      </c>
      <c r="C11" t="s">
        <v>78</v>
      </c>
      <c r="D11" t="s">
        <v>28</v>
      </c>
      <c r="E11" t="s">
        <v>97</v>
      </c>
      <c r="F11" t="s">
        <v>46</v>
      </c>
      <c r="G11">
        <v>10110939</v>
      </c>
      <c r="H11">
        <v>8628597</v>
      </c>
      <c r="I11">
        <v>1482342</v>
      </c>
      <c r="J11">
        <v>0.85</v>
      </c>
      <c r="K11">
        <v>11.77</v>
      </c>
      <c r="L11">
        <v>2</v>
      </c>
      <c r="M11" t="s">
        <v>31</v>
      </c>
      <c r="N11">
        <v>0</v>
      </c>
      <c r="O11" t="s">
        <v>32</v>
      </c>
      <c r="P11">
        <v>0</v>
      </c>
      <c r="Q11">
        <v>5</v>
      </c>
      <c r="R11" t="s">
        <v>91</v>
      </c>
      <c r="S11" t="s">
        <v>64</v>
      </c>
      <c r="T11">
        <v>12</v>
      </c>
      <c r="U11">
        <v>469936343</v>
      </c>
      <c r="V11" t="s">
        <v>65</v>
      </c>
      <c r="W11" s="1">
        <v>44024</v>
      </c>
      <c r="X11" s="1">
        <v>44026</v>
      </c>
      <c r="Y11" s="1">
        <v>46053</v>
      </c>
    </row>
    <row r="12" spans="1:25" x14ac:dyDescent="0.25">
      <c r="A12" t="s">
        <v>473</v>
      </c>
      <c r="B12" t="s">
        <v>474</v>
      </c>
      <c r="C12" t="s">
        <v>27</v>
      </c>
      <c r="D12" t="s">
        <v>52</v>
      </c>
      <c r="E12" t="s">
        <v>85</v>
      </c>
      <c r="F12" t="s">
        <v>54</v>
      </c>
      <c r="G12">
        <v>2364729</v>
      </c>
      <c r="H12">
        <v>1925727</v>
      </c>
      <c r="I12">
        <v>439002</v>
      </c>
      <c r="J12">
        <v>0.81</v>
      </c>
      <c r="K12">
        <v>12.43</v>
      </c>
      <c r="L12">
        <v>10</v>
      </c>
      <c r="M12" t="s">
        <v>31</v>
      </c>
      <c r="N12">
        <v>0</v>
      </c>
      <c r="O12" t="s">
        <v>32</v>
      </c>
      <c r="P12">
        <v>1</v>
      </c>
      <c r="Q12">
        <v>4</v>
      </c>
      <c r="R12" t="s">
        <v>91</v>
      </c>
      <c r="S12" t="s">
        <v>64</v>
      </c>
      <c r="T12">
        <v>9</v>
      </c>
      <c r="U12">
        <v>7123436</v>
      </c>
      <c r="V12" t="s">
        <v>49</v>
      </c>
      <c r="W12" s="1">
        <v>43931</v>
      </c>
      <c r="X12" s="1">
        <v>43938</v>
      </c>
      <c r="Y12" s="1">
        <v>46053</v>
      </c>
    </row>
    <row r="13" spans="1:25" x14ac:dyDescent="0.25">
      <c r="A13" t="s">
        <v>470</v>
      </c>
      <c r="B13" t="s">
        <v>225</v>
      </c>
      <c r="C13" t="s">
        <v>78</v>
      </c>
      <c r="D13" t="s">
        <v>61</v>
      </c>
      <c r="E13" t="s">
        <v>29</v>
      </c>
      <c r="F13" t="s">
        <v>68</v>
      </c>
      <c r="G13">
        <v>8586046</v>
      </c>
      <c r="H13">
        <v>7727418</v>
      </c>
      <c r="I13">
        <v>858628</v>
      </c>
      <c r="J13">
        <v>0.9</v>
      </c>
      <c r="K13">
        <v>10.96</v>
      </c>
      <c r="L13">
        <v>15</v>
      </c>
      <c r="M13" t="s">
        <v>31</v>
      </c>
      <c r="N13">
        <v>0</v>
      </c>
      <c r="O13" t="s">
        <v>32</v>
      </c>
      <c r="P13">
        <v>0</v>
      </c>
      <c r="Q13">
        <v>3</v>
      </c>
      <c r="R13" t="s">
        <v>91</v>
      </c>
      <c r="S13" t="s">
        <v>48</v>
      </c>
      <c r="T13">
        <v>13</v>
      </c>
      <c r="U13">
        <v>389324304</v>
      </c>
      <c r="V13" t="s">
        <v>58</v>
      </c>
      <c r="W13" s="1">
        <v>44333</v>
      </c>
      <c r="X13" s="1">
        <v>44337</v>
      </c>
      <c r="Y13" s="1">
        <v>46053</v>
      </c>
    </row>
    <row r="14" spans="1:25" x14ac:dyDescent="0.25">
      <c r="A14" t="s">
        <v>465</v>
      </c>
      <c r="B14" t="s">
        <v>121</v>
      </c>
      <c r="C14" t="s">
        <v>78</v>
      </c>
      <c r="D14" t="s">
        <v>28</v>
      </c>
      <c r="E14" t="s">
        <v>45</v>
      </c>
      <c r="F14" t="s">
        <v>54</v>
      </c>
      <c r="G14">
        <v>2502724</v>
      </c>
      <c r="H14">
        <v>1670353</v>
      </c>
      <c r="I14">
        <v>832371</v>
      </c>
      <c r="J14">
        <v>0.67</v>
      </c>
      <c r="K14">
        <v>13.69</v>
      </c>
      <c r="L14">
        <v>24</v>
      </c>
      <c r="M14" t="s">
        <v>31</v>
      </c>
      <c r="N14">
        <v>0</v>
      </c>
      <c r="O14" t="s">
        <v>32</v>
      </c>
      <c r="P14">
        <v>1</v>
      </c>
      <c r="Q14">
        <v>0</v>
      </c>
      <c r="R14" t="s">
        <v>91</v>
      </c>
      <c r="S14" t="s">
        <v>79</v>
      </c>
      <c r="T14">
        <v>9</v>
      </c>
      <c r="U14">
        <v>180224725</v>
      </c>
      <c r="V14" t="s">
        <v>65</v>
      </c>
      <c r="W14" s="1">
        <v>44196</v>
      </c>
      <c r="X14" s="1">
        <v>44201</v>
      </c>
      <c r="Y14" s="1">
        <v>46053</v>
      </c>
    </row>
    <row r="15" spans="1:25" x14ac:dyDescent="0.25">
      <c r="A15" t="s">
        <v>88</v>
      </c>
      <c r="B15" t="s">
        <v>89</v>
      </c>
      <c r="C15" t="s">
        <v>27</v>
      </c>
      <c r="D15" t="s">
        <v>52</v>
      </c>
      <c r="E15" t="s">
        <v>45</v>
      </c>
      <c r="F15" t="s">
        <v>68</v>
      </c>
      <c r="G15">
        <v>12340887</v>
      </c>
      <c r="H15">
        <v>9733036</v>
      </c>
      <c r="I15">
        <v>2607851</v>
      </c>
      <c r="J15">
        <v>0.79</v>
      </c>
      <c r="K15">
        <v>14.05</v>
      </c>
      <c r="L15">
        <v>85</v>
      </c>
      <c r="M15" t="s">
        <v>90</v>
      </c>
      <c r="N15">
        <v>0</v>
      </c>
      <c r="O15" t="s">
        <v>70</v>
      </c>
      <c r="P15">
        <v>0</v>
      </c>
      <c r="Q15">
        <v>2</v>
      </c>
      <c r="R15" t="s">
        <v>91</v>
      </c>
      <c r="S15" t="s">
        <v>57</v>
      </c>
      <c r="T15">
        <v>19</v>
      </c>
      <c r="U15">
        <v>175666257</v>
      </c>
      <c r="V15" t="s">
        <v>35</v>
      </c>
      <c r="W15" s="1">
        <v>45061</v>
      </c>
      <c r="X15" s="1">
        <v>45064</v>
      </c>
      <c r="Y15" s="1">
        <v>46053</v>
      </c>
    </row>
    <row r="16" spans="1:25" x14ac:dyDescent="0.25">
      <c r="A16" t="s">
        <v>92</v>
      </c>
      <c r="B16" t="s">
        <v>93</v>
      </c>
      <c r="C16" t="s">
        <v>27</v>
      </c>
      <c r="D16" t="s">
        <v>28</v>
      </c>
      <c r="E16" t="s">
        <v>94</v>
      </c>
      <c r="F16" t="s">
        <v>46</v>
      </c>
      <c r="G16">
        <v>13948635</v>
      </c>
      <c r="H16">
        <v>9999272</v>
      </c>
      <c r="I16">
        <v>3949363</v>
      </c>
      <c r="J16">
        <v>0.72</v>
      </c>
      <c r="K16">
        <v>10.11</v>
      </c>
      <c r="L16">
        <v>23</v>
      </c>
      <c r="M16" t="s">
        <v>31</v>
      </c>
      <c r="N16">
        <v>0</v>
      </c>
      <c r="O16" t="s">
        <v>32</v>
      </c>
      <c r="P16">
        <v>1</v>
      </c>
      <c r="Q16">
        <v>1</v>
      </c>
      <c r="R16" t="s">
        <v>91</v>
      </c>
      <c r="S16" t="s">
        <v>57</v>
      </c>
      <c r="T16">
        <v>11</v>
      </c>
      <c r="U16">
        <v>55072177</v>
      </c>
      <c r="V16" t="s">
        <v>65</v>
      </c>
      <c r="W16" s="1">
        <v>43916</v>
      </c>
      <c r="X16" s="1">
        <v>43923</v>
      </c>
      <c r="Y16" s="1">
        <v>46053</v>
      </c>
    </row>
    <row r="17" spans="1:25" x14ac:dyDescent="0.25">
      <c r="A17" t="s">
        <v>462</v>
      </c>
      <c r="B17" t="s">
        <v>291</v>
      </c>
      <c r="C17" t="s">
        <v>78</v>
      </c>
      <c r="D17" t="s">
        <v>52</v>
      </c>
      <c r="E17" t="s">
        <v>97</v>
      </c>
      <c r="F17" t="s">
        <v>30</v>
      </c>
      <c r="G17">
        <v>14544020</v>
      </c>
      <c r="H17">
        <v>12195469</v>
      </c>
      <c r="I17">
        <v>2348551</v>
      </c>
      <c r="J17">
        <v>0.84</v>
      </c>
      <c r="K17">
        <v>13.98</v>
      </c>
      <c r="L17">
        <v>18</v>
      </c>
      <c r="M17" t="s">
        <v>31</v>
      </c>
      <c r="N17">
        <v>0</v>
      </c>
      <c r="O17" t="s">
        <v>32</v>
      </c>
      <c r="P17">
        <v>1</v>
      </c>
      <c r="Q17">
        <v>1</v>
      </c>
      <c r="R17" t="s">
        <v>91</v>
      </c>
      <c r="S17" t="s">
        <v>34</v>
      </c>
      <c r="T17">
        <v>17</v>
      </c>
      <c r="U17">
        <v>352818011</v>
      </c>
      <c r="V17" t="s">
        <v>58</v>
      </c>
      <c r="W17" s="1">
        <v>44406</v>
      </c>
      <c r="X17" s="1">
        <v>44407</v>
      </c>
      <c r="Y17" s="1">
        <v>46053</v>
      </c>
    </row>
    <row r="18" spans="1:25" x14ac:dyDescent="0.25">
      <c r="A18" t="s">
        <v>454</v>
      </c>
      <c r="B18" t="s">
        <v>455</v>
      </c>
      <c r="C18" t="s">
        <v>38</v>
      </c>
      <c r="D18" t="s">
        <v>52</v>
      </c>
      <c r="E18" t="s">
        <v>73</v>
      </c>
      <c r="F18" t="s">
        <v>68</v>
      </c>
      <c r="G18">
        <v>4782949</v>
      </c>
      <c r="H18">
        <v>4357665</v>
      </c>
      <c r="I18">
        <v>425284</v>
      </c>
      <c r="J18">
        <v>0.91</v>
      </c>
      <c r="K18">
        <v>12.28</v>
      </c>
      <c r="L18">
        <v>26</v>
      </c>
      <c r="M18" t="s">
        <v>31</v>
      </c>
      <c r="N18">
        <v>0</v>
      </c>
      <c r="O18" t="s">
        <v>32</v>
      </c>
      <c r="P18">
        <v>0</v>
      </c>
      <c r="Q18">
        <v>0</v>
      </c>
      <c r="R18" t="s">
        <v>91</v>
      </c>
      <c r="S18" t="s">
        <v>79</v>
      </c>
      <c r="T18">
        <v>9</v>
      </c>
      <c r="U18">
        <v>480768368</v>
      </c>
      <c r="V18" t="s">
        <v>35</v>
      </c>
      <c r="W18" s="1">
        <v>43909</v>
      </c>
      <c r="X18" s="1">
        <v>43914</v>
      </c>
      <c r="Y18" s="1">
        <v>46053</v>
      </c>
    </row>
    <row r="19" spans="1:25" x14ac:dyDescent="0.25">
      <c r="A19" t="s">
        <v>442</v>
      </c>
      <c r="B19" t="s">
        <v>248</v>
      </c>
      <c r="C19" t="s">
        <v>78</v>
      </c>
      <c r="D19" t="s">
        <v>61</v>
      </c>
      <c r="E19" t="s">
        <v>102</v>
      </c>
      <c r="F19" t="s">
        <v>30</v>
      </c>
      <c r="G19">
        <v>8415295</v>
      </c>
      <c r="H19">
        <v>6095890</v>
      </c>
      <c r="I19">
        <v>2319405</v>
      </c>
      <c r="J19">
        <v>0.72</v>
      </c>
      <c r="K19">
        <v>9.52</v>
      </c>
      <c r="L19">
        <v>28</v>
      </c>
      <c r="M19" t="s">
        <v>31</v>
      </c>
      <c r="N19">
        <v>0</v>
      </c>
      <c r="O19" t="s">
        <v>32</v>
      </c>
      <c r="P19">
        <v>0</v>
      </c>
      <c r="Q19">
        <v>3</v>
      </c>
      <c r="R19" t="s">
        <v>91</v>
      </c>
      <c r="S19" t="s">
        <v>64</v>
      </c>
      <c r="T19">
        <v>10</v>
      </c>
      <c r="U19">
        <v>474181930</v>
      </c>
      <c r="V19" t="s">
        <v>65</v>
      </c>
      <c r="W19" s="1">
        <v>44628</v>
      </c>
      <c r="X19" s="1">
        <v>44631</v>
      </c>
      <c r="Y19" s="1">
        <v>46053</v>
      </c>
    </row>
    <row r="20" spans="1:25" x14ac:dyDescent="0.25">
      <c r="A20" t="s">
        <v>439</v>
      </c>
      <c r="B20" t="s">
        <v>440</v>
      </c>
      <c r="C20" t="s">
        <v>38</v>
      </c>
      <c r="D20" t="s">
        <v>39</v>
      </c>
      <c r="E20" t="s">
        <v>40</v>
      </c>
      <c r="F20" t="s">
        <v>30</v>
      </c>
      <c r="G20">
        <v>5598235</v>
      </c>
      <c r="H20">
        <v>3693856</v>
      </c>
      <c r="I20">
        <v>1904379</v>
      </c>
      <c r="J20">
        <v>0.66</v>
      </c>
      <c r="K20">
        <v>10.59</v>
      </c>
      <c r="L20">
        <v>31</v>
      </c>
      <c r="M20" t="s">
        <v>55</v>
      </c>
      <c r="N20">
        <v>0</v>
      </c>
      <c r="O20" t="s">
        <v>56</v>
      </c>
      <c r="P20">
        <v>0</v>
      </c>
      <c r="Q20">
        <v>3</v>
      </c>
      <c r="R20" t="s">
        <v>91</v>
      </c>
      <c r="S20" t="s">
        <v>64</v>
      </c>
      <c r="T20">
        <v>8</v>
      </c>
      <c r="U20">
        <v>116047722</v>
      </c>
      <c r="V20" t="s">
        <v>65</v>
      </c>
      <c r="W20" s="1">
        <v>43873</v>
      </c>
      <c r="X20" s="1">
        <v>43879</v>
      </c>
      <c r="Y20" s="1">
        <v>46053</v>
      </c>
    </row>
    <row r="21" spans="1:25" x14ac:dyDescent="0.25">
      <c r="A21" t="s">
        <v>105</v>
      </c>
      <c r="B21" t="s">
        <v>106</v>
      </c>
      <c r="C21" t="s">
        <v>27</v>
      </c>
      <c r="D21" t="s">
        <v>39</v>
      </c>
      <c r="E21" t="s">
        <v>40</v>
      </c>
      <c r="F21" t="s">
        <v>46</v>
      </c>
      <c r="G21">
        <v>11313164</v>
      </c>
      <c r="H21">
        <v>9147099</v>
      </c>
      <c r="I21">
        <v>2166065</v>
      </c>
      <c r="J21">
        <v>0.81</v>
      </c>
      <c r="K21">
        <v>14.12</v>
      </c>
      <c r="L21">
        <v>63</v>
      </c>
      <c r="M21" t="s">
        <v>90</v>
      </c>
      <c r="N21">
        <v>0</v>
      </c>
      <c r="O21" t="s">
        <v>70</v>
      </c>
      <c r="P21">
        <v>1</v>
      </c>
      <c r="Q21">
        <v>3</v>
      </c>
      <c r="R21" t="s">
        <v>91</v>
      </c>
      <c r="S21" t="s">
        <v>79</v>
      </c>
      <c r="T21">
        <v>8</v>
      </c>
      <c r="U21">
        <v>61159234</v>
      </c>
      <c r="V21" t="s">
        <v>65</v>
      </c>
      <c r="W21" s="1">
        <v>44643</v>
      </c>
      <c r="X21" s="1">
        <v>44653</v>
      </c>
      <c r="Y21" s="1">
        <v>46053</v>
      </c>
    </row>
    <row r="22" spans="1:25" x14ac:dyDescent="0.25">
      <c r="A22" t="s">
        <v>107</v>
      </c>
      <c r="B22" t="s">
        <v>108</v>
      </c>
      <c r="C22" t="s">
        <v>38</v>
      </c>
      <c r="D22" t="s">
        <v>52</v>
      </c>
      <c r="E22" t="s">
        <v>102</v>
      </c>
      <c r="F22" t="s">
        <v>54</v>
      </c>
      <c r="G22">
        <v>8417343</v>
      </c>
      <c r="H22">
        <v>5705620</v>
      </c>
      <c r="I22">
        <v>2711723</v>
      </c>
      <c r="J22">
        <v>0.68</v>
      </c>
      <c r="K22">
        <v>14.5</v>
      </c>
      <c r="L22">
        <v>46</v>
      </c>
      <c r="M22" t="s">
        <v>55</v>
      </c>
      <c r="N22">
        <v>0</v>
      </c>
      <c r="O22" t="s">
        <v>56</v>
      </c>
      <c r="P22">
        <v>0</v>
      </c>
      <c r="Q22">
        <v>0</v>
      </c>
      <c r="R22" t="s">
        <v>91</v>
      </c>
      <c r="S22" t="s">
        <v>64</v>
      </c>
      <c r="T22">
        <v>22</v>
      </c>
      <c r="U22">
        <v>485778564</v>
      </c>
      <c r="V22" t="s">
        <v>58</v>
      </c>
      <c r="W22" s="1">
        <v>43980</v>
      </c>
      <c r="X22" s="1">
        <v>43988</v>
      </c>
      <c r="Y22" s="1">
        <v>46053</v>
      </c>
    </row>
    <row r="23" spans="1:25" x14ac:dyDescent="0.25">
      <c r="A23" t="s">
        <v>436</v>
      </c>
      <c r="B23" t="s">
        <v>368</v>
      </c>
      <c r="C23" t="s">
        <v>78</v>
      </c>
      <c r="D23" t="s">
        <v>28</v>
      </c>
      <c r="E23" t="s">
        <v>94</v>
      </c>
      <c r="F23" t="s">
        <v>30</v>
      </c>
      <c r="G23">
        <v>6308340</v>
      </c>
      <c r="H23">
        <v>5859212</v>
      </c>
      <c r="I23">
        <v>449128</v>
      </c>
      <c r="J23">
        <v>0.93</v>
      </c>
      <c r="K23">
        <v>9.48</v>
      </c>
      <c r="L23">
        <v>30</v>
      </c>
      <c r="M23" t="s">
        <v>31</v>
      </c>
      <c r="N23">
        <v>0</v>
      </c>
      <c r="O23" t="s">
        <v>32</v>
      </c>
      <c r="P23">
        <v>1</v>
      </c>
      <c r="Q23">
        <v>1</v>
      </c>
      <c r="R23" t="s">
        <v>91</v>
      </c>
      <c r="S23" t="s">
        <v>34</v>
      </c>
      <c r="T23">
        <v>9</v>
      </c>
      <c r="U23">
        <v>495166782</v>
      </c>
      <c r="V23" t="s">
        <v>49</v>
      </c>
      <c r="W23" s="1">
        <v>44652</v>
      </c>
      <c r="X23" s="1">
        <v>44656</v>
      </c>
      <c r="Y23" s="1">
        <v>46053</v>
      </c>
    </row>
    <row r="24" spans="1:25" x14ac:dyDescent="0.25">
      <c r="A24" t="s">
        <v>433</v>
      </c>
      <c r="B24" t="s">
        <v>311</v>
      </c>
      <c r="C24" t="s">
        <v>27</v>
      </c>
      <c r="D24" t="s">
        <v>28</v>
      </c>
      <c r="E24" t="s">
        <v>102</v>
      </c>
      <c r="F24" t="s">
        <v>68</v>
      </c>
      <c r="G24">
        <v>9235552</v>
      </c>
      <c r="H24">
        <v>5821758</v>
      </c>
      <c r="I24">
        <v>3413794</v>
      </c>
      <c r="J24">
        <v>0.63</v>
      </c>
      <c r="K24">
        <v>12.78</v>
      </c>
      <c r="L24">
        <v>20</v>
      </c>
      <c r="M24" t="s">
        <v>31</v>
      </c>
      <c r="N24">
        <v>0</v>
      </c>
      <c r="O24" t="s">
        <v>32</v>
      </c>
      <c r="P24">
        <v>0</v>
      </c>
      <c r="Q24">
        <v>5</v>
      </c>
      <c r="R24" t="s">
        <v>91</v>
      </c>
      <c r="S24" t="s">
        <v>64</v>
      </c>
      <c r="T24">
        <v>6</v>
      </c>
      <c r="U24">
        <v>210054299</v>
      </c>
      <c r="V24" t="s">
        <v>65</v>
      </c>
      <c r="W24" s="1">
        <v>45237</v>
      </c>
      <c r="X24" s="1">
        <v>45246</v>
      </c>
      <c r="Y24" s="1">
        <v>46053</v>
      </c>
    </row>
    <row r="25" spans="1:25" x14ac:dyDescent="0.25">
      <c r="A25" t="s">
        <v>421</v>
      </c>
      <c r="B25" t="s">
        <v>422</v>
      </c>
      <c r="C25" t="s">
        <v>78</v>
      </c>
      <c r="D25" t="s">
        <v>52</v>
      </c>
      <c r="E25" t="s">
        <v>97</v>
      </c>
      <c r="F25" t="s">
        <v>54</v>
      </c>
      <c r="G25">
        <v>10791362</v>
      </c>
      <c r="H25">
        <v>8008012</v>
      </c>
      <c r="I25">
        <v>2783350</v>
      </c>
      <c r="J25">
        <v>0.74</v>
      </c>
      <c r="K25">
        <v>10.11</v>
      </c>
      <c r="L25">
        <v>26</v>
      </c>
      <c r="M25" t="s">
        <v>31</v>
      </c>
      <c r="N25">
        <v>0</v>
      </c>
      <c r="O25" t="s">
        <v>32</v>
      </c>
      <c r="P25">
        <v>0</v>
      </c>
      <c r="Q25">
        <v>3</v>
      </c>
      <c r="R25" t="s">
        <v>91</v>
      </c>
      <c r="S25" t="s">
        <v>48</v>
      </c>
      <c r="T25">
        <v>4</v>
      </c>
      <c r="U25">
        <v>87229775</v>
      </c>
      <c r="V25" t="s">
        <v>49</v>
      </c>
      <c r="W25" s="1">
        <v>44009</v>
      </c>
      <c r="X25" s="1">
        <v>44018</v>
      </c>
      <c r="Y25" s="1">
        <v>46053</v>
      </c>
    </row>
    <row r="26" spans="1:25" x14ac:dyDescent="0.25">
      <c r="A26" t="s">
        <v>418</v>
      </c>
      <c r="B26" t="s">
        <v>419</v>
      </c>
      <c r="C26" t="s">
        <v>38</v>
      </c>
      <c r="D26" t="s">
        <v>61</v>
      </c>
      <c r="E26" t="s">
        <v>102</v>
      </c>
      <c r="F26" t="s">
        <v>54</v>
      </c>
      <c r="G26">
        <v>11365867</v>
      </c>
      <c r="H26">
        <v>7313464</v>
      </c>
      <c r="I26">
        <v>4052403</v>
      </c>
      <c r="J26">
        <v>0.64</v>
      </c>
      <c r="K26">
        <v>9.27</v>
      </c>
      <c r="L26">
        <v>12</v>
      </c>
      <c r="M26" t="s">
        <v>31</v>
      </c>
      <c r="N26">
        <v>0</v>
      </c>
      <c r="O26" t="s">
        <v>32</v>
      </c>
      <c r="P26">
        <v>1</v>
      </c>
      <c r="Q26">
        <v>1</v>
      </c>
      <c r="R26" t="s">
        <v>91</v>
      </c>
      <c r="S26" t="s">
        <v>34</v>
      </c>
      <c r="T26">
        <v>7</v>
      </c>
      <c r="U26">
        <v>449555978</v>
      </c>
      <c r="V26" t="s">
        <v>35</v>
      </c>
      <c r="W26" s="1">
        <v>44947</v>
      </c>
      <c r="X26" s="1">
        <v>44951</v>
      </c>
      <c r="Y26" s="1">
        <v>46053</v>
      </c>
    </row>
    <row r="27" spans="1:25" x14ac:dyDescent="0.25">
      <c r="A27" t="s">
        <v>414</v>
      </c>
      <c r="B27" t="s">
        <v>222</v>
      </c>
      <c r="C27" t="s">
        <v>27</v>
      </c>
      <c r="D27" t="s">
        <v>52</v>
      </c>
      <c r="E27" t="s">
        <v>102</v>
      </c>
      <c r="F27" t="s">
        <v>46</v>
      </c>
      <c r="G27">
        <v>12428657</v>
      </c>
      <c r="H27">
        <v>8068060</v>
      </c>
      <c r="I27">
        <v>4360597</v>
      </c>
      <c r="J27">
        <v>0.65</v>
      </c>
      <c r="K27">
        <v>13.57</v>
      </c>
      <c r="L27">
        <v>30</v>
      </c>
      <c r="M27" t="s">
        <v>31</v>
      </c>
      <c r="N27">
        <v>0</v>
      </c>
      <c r="O27" t="s">
        <v>32</v>
      </c>
      <c r="P27">
        <v>1</v>
      </c>
      <c r="Q27">
        <v>1</v>
      </c>
      <c r="R27" t="s">
        <v>91</v>
      </c>
      <c r="S27" t="s">
        <v>64</v>
      </c>
      <c r="T27">
        <v>18</v>
      </c>
      <c r="U27">
        <v>269519393</v>
      </c>
      <c r="V27" t="s">
        <v>35</v>
      </c>
      <c r="W27" s="1">
        <v>44273</v>
      </c>
      <c r="X27" s="1">
        <v>44276</v>
      </c>
      <c r="Y27" s="1">
        <v>46053</v>
      </c>
    </row>
    <row r="28" spans="1:25" x14ac:dyDescent="0.25">
      <c r="A28" t="s">
        <v>409</v>
      </c>
      <c r="B28" t="s">
        <v>272</v>
      </c>
      <c r="C28" t="s">
        <v>38</v>
      </c>
      <c r="D28" t="s">
        <v>28</v>
      </c>
      <c r="E28" t="s">
        <v>82</v>
      </c>
      <c r="F28" t="s">
        <v>54</v>
      </c>
      <c r="G28">
        <v>14747831</v>
      </c>
      <c r="H28">
        <v>9174360</v>
      </c>
      <c r="I28">
        <v>5573471</v>
      </c>
      <c r="J28">
        <v>0.62</v>
      </c>
      <c r="K28">
        <v>10.41</v>
      </c>
      <c r="L28">
        <v>25</v>
      </c>
      <c r="M28" t="s">
        <v>31</v>
      </c>
      <c r="N28">
        <v>0</v>
      </c>
      <c r="O28" t="s">
        <v>32</v>
      </c>
      <c r="P28">
        <v>1</v>
      </c>
      <c r="Q28">
        <v>5</v>
      </c>
      <c r="R28" t="s">
        <v>91</v>
      </c>
      <c r="S28" t="s">
        <v>64</v>
      </c>
      <c r="T28">
        <v>9</v>
      </c>
      <c r="U28">
        <v>318668739</v>
      </c>
      <c r="V28" t="s">
        <v>49</v>
      </c>
      <c r="W28" s="1">
        <v>44295</v>
      </c>
      <c r="X28" s="1">
        <v>44303</v>
      </c>
      <c r="Y28" s="1">
        <v>46053</v>
      </c>
    </row>
    <row r="29" spans="1:25" x14ac:dyDescent="0.25">
      <c r="A29" t="s">
        <v>120</v>
      </c>
      <c r="B29" t="s">
        <v>121</v>
      </c>
      <c r="C29" t="s">
        <v>27</v>
      </c>
      <c r="D29" t="s">
        <v>28</v>
      </c>
      <c r="E29" t="s">
        <v>53</v>
      </c>
      <c r="F29" t="s">
        <v>54</v>
      </c>
      <c r="G29">
        <v>11273409</v>
      </c>
      <c r="H29">
        <v>7743878</v>
      </c>
      <c r="I29">
        <v>3529531</v>
      </c>
      <c r="J29">
        <v>0.69</v>
      </c>
      <c r="K29">
        <v>13.56</v>
      </c>
      <c r="L29">
        <v>12</v>
      </c>
      <c r="M29" t="s">
        <v>31</v>
      </c>
      <c r="N29">
        <v>0</v>
      </c>
      <c r="O29" t="s">
        <v>32</v>
      </c>
      <c r="P29">
        <v>0</v>
      </c>
      <c r="Q29">
        <v>2</v>
      </c>
      <c r="R29" t="s">
        <v>91</v>
      </c>
      <c r="S29" t="s">
        <v>48</v>
      </c>
      <c r="T29">
        <v>10</v>
      </c>
      <c r="U29">
        <v>48916009</v>
      </c>
      <c r="V29" t="s">
        <v>65</v>
      </c>
      <c r="W29" s="1">
        <v>44107</v>
      </c>
      <c r="X29" s="1">
        <v>44109</v>
      </c>
      <c r="Y29" s="1">
        <v>46053</v>
      </c>
    </row>
    <row r="30" spans="1:25" x14ac:dyDescent="0.25">
      <c r="A30" t="s">
        <v>122</v>
      </c>
      <c r="B30" t="s">
        <v>123</v>
      </c>
      <c r="C30" t="s">
        <v>38</v>
      </c>
      <c r="D30" t="s">
        <v>28</v>
      </c>
      <c r="E30" t="s">
        <v>40</v>
      </c>
      <c r="F30" t="s">
        <v>30</v>
      </c>
      <c r="G30">
        <v>14243532</v>
      </c>
      <c r="H30">
        <v>8757111</v>
      </c>
      <c r="I30">
        <v>5486421</v>
      </c>
      <c r="J30">
        <v>0.61</v>
      </c>
      <c r="K30">
        <v>14.32</v>
      </c>
      <c r="L30">
        <v>29</v>
      </c>
      <c r="M30" t="s">
        <v>31</v>
      </c>
      <c r="N30">
        <v>0</v>
      </c>
      <c r="O30" t="s">
        <v>32</v>
      </c>
      <c r="P30">
        <v>1</v>
      </c>
      <c r="Q30">
        <v>5</v>
      </c>
      <c r="R30" t="s">
        <v>91</v>
      </c>
      <c r="S30" t="s">
        <v>48</v>
      </c>
      <c r="T30">
        <v>4</v>
      </c>
      <c r="U30">
        <v>94932981</v>
      </c>
      <c r="V30" t="s">
        <v>58</v>
      </c>
      <c r="W30" s="1">
        <v>45302</v>
      </c>
      <c r="X30" s="1">
        <v>45311</v>
      </c>
      <c r="Y30" s="1">
        <v>46053</v>
      </c>
    </row>
    <row r="31" spans="1:25" x14ac:dyDescent="0.25">
      <c r="A31" t="s">
        <v>391</v>
      </c>
      <c r="B31" t="s">
        <v>392</v>
      </c>
      <c r="C31" t="s">
        <v>44</v>
      </c>
      <c r="D31" t="s">
        <v>52</v>
      </c>
      <c r="E31" t="s">
        <v>102</v>
      </c>
      <c r="F31" t="s">
        <v>68</v>
      </c>
      <c r="G31">
        <v>9063881</v>
      </c>
      <c r="H31">
        <v>5534595</v>
      </c>
      <c r="I31">
        <v>3529286</v>
      </c>
      <c r="J31">
        <v>0.61</v>
      </c>
      <c r="K31">
        <v>9.66</v>
      </c>
      <c r="L31">
        <v>6</v>
      </c>
      <c r="M31" t="s">
        <v>31</v>
      </c>
      <c r="N31">
        <v>0</v>
      </c>
      <c r="O31" t="s">
        <v>32</v>
      </c>
      <c r="P31">
        <v>0</v>
      </c>
      <c r="Q31">
        <v>2</v>
      </c>
      <c r="R31" t="s">
        <v>91</v>
      </c>
      <c r="S31" t="s">
        <v>48</v>
      </c>
      <c r="T31">
        <v>7</v>
      </c>
      <c r="U31">
        <v>29440551</v>
      </c>
      <c r="V31" t="s">
        <v>49</v>
      </c>
      <c r="W31" s="1">
        <v>43859</v>
      </c>
      <c r="X31" s="1">
        <v>43867</v>
      </c>
      <c r="Y31" s="1">
        <v>46053</v>
      </c>
    </row>
    <row r="32" spans="1:25" x14ac:dyDescent="0.25">
      <c r="A32" t="s">
        <v>389</v>
      </c>
      <c r="B32" t="s">
        <v>202</v>
      </c>
      <c r="C32" t="s">
        <v>38</v>
      </c>
      <c r="D32" t="s">
        <v>28</v>
      </c>
      <c r="E32" t="s">
        <v>102</v>
      </c>
      <c r="F32" t="s">
        <v>30</v>
      </c>
      <c r="G32">
        <v>13311826</v>
      </c>
      <c r="H32">
        <v>9357879</v>
      </c>
      <c r="I32">
        <v>3953947</v>
      </c>
      <c r="J32">
        <v>0.7</v>
      </c>
      <c r="K32">
        <v>10.99</v>
      </c>
      <c r="L32">
        <v>33</v>
      </c>
      <c r="M32" t="s">
        <v>55</v>
      </c>
      <c r="N32">
        <v>0</v>
      </c>
      <c r="O32" t="s">
        <v>56</v>
      </c>
      <c r="P32">
        <v>1</v>
      </c>
      <c r="Q32">
        <v>4</v>
      </c>
      <c r="R32" t="s">
        <v>91</v>
      </c>
      <c r="S32" t="s">
        <v>64</v>
      </c>
      <c r="T32">
        <v>8</v>
      </c>
      <c r="U32">
        <v>361423233</v>
      </c>
      <c r="V32" t="s">
        <v>49</v>
      </c>
      <c r="W32" s="1">
        <v>43841</v>
      </c>
      <c r="X32" s="1">
        <v>43847</v>
      </c>
      <c r="Y32" s="1">
        <v>46053</v>
      </c>
    </row>
    <row r="33" spans="1:25" x14ac:dyDescent="0.25">
      <c r="A33" t="s">
        <v>388</v>
      </c>
      <c r="B33" t="s">
        <v>160</v>
      </c>
      <c r="C33" t="s">
        <v>78</v>
      </c>
      <c r="D33" t="s">
        <v>61</v>
      </c>
      <c r="E33" t="s">
        <v>40</v>
      </c>
      <c r="F33" t="s">
        <v>30</v>
      </c>
      <c r="G33">
        <v>3749249</v>
      </c>
      <c r="H33">
        <v>3547733</v>
      </c>
      <c r="I33">
        <v>201516</v>
      </c>
      <c r="J33">
        <v>0.95</v>
      </c>
      <c r="K33">
        <v>11.63</v>
      </c>
      <c r="L33">
        <v>12</v>
      </c>
      <c r="M33" t="s">
        <v>31</v>
      </c>
      <c r="N33">
        <v>0</v>
      </c>
      <c r="O33" t="s">
        <v>32</v>
      </c>
      <c r="P33">
        <v>1</v>
      </c>
      <c r="Q33">
        <v>1</v>
      </c>
      <c r="R33" t="s">
        <v>91</v>
      </c>
      <c r="S33" t="s">
        <v>48</v>
      </c>
      <c r="T33">
        <v>21</v>
      </c>
      <c r="U33">
        <v>148974176</v>
      </c>
      <c r="V33" t="s">
        <v>35</v>
      </c>
      <c r="W33" s="1">
        <v>44122</v>
      </c>
      <c r="X33" s="1">
        <v>44125</v>
      </c>
      <c r="Y33" s="1">
        <v>46053</v>
      </c>
    </row>
    <row r="34" spans="1:25" x14ac:dyDescent="0.25">
      <c r="A34" t="s">
        <v>129</v>
      </c>
      <c r="B34" t="s">
        <v>130</v>
      </c>
      <c r="C34" t="s">
        <v>27</v>
      </c>
      <c r="D34" t="s">
        <v>28</v>
      </c>
      <c r="E34" t="s">
        <v>40</v>
      </c>
      <c r="F34" t="s">
        <v>46</v>
      </c>
      <c r="G34">
        <v>14643502</v>
      </c>
      <c r="H34">
        <v>8999889</v>
      </c>
      <c r="I34">
        <v>5643613</v>
      </c>
      <c r="J34">
        <v>0.61</v>
      </c>
      <c r="K34">
        <v>12.56</v>
      </c>
      <c r="L34">
        <v>27</v>
      </c>
      <c r="M34" t="s">
        <v>31</v>
      </c>
      <c r="N34">
        <v>0</v>
      </c>
      <c r="O34" t="s">
        <v>32</v>
      </c>
      <c r="P34">
        <v>0</v>
      </c>
      <c r="Q34">
        <v>3</v>
      </c>
      <c r="R34" t="s">
        <v>91</v>
      </c>
      <c r="S34" t="s">
        <v>48</v>
      </c>
      <c r="T34">
        <v>12</v>
      </c>
      <c r="U34">
        <v>445431808</v>
      </c>
      <c r="V34" t="s">
        <v>49</v>
      </c>
      <c r="W34" s="1">
        <v>44818</v>
      </c>
      <c r="X34" s="1">
        <v>44825</v>
      </c>
      <c r="Y34" s="1">
        <v>46053</v>
      </c>
    </row>
    <row r="35" spans="1:25" x14ac:dyDescent="0.25">
      <c r="A35" t="s">
        <v>131</v>
      </c>
      <c r="B35" t="s">
        <v>132</v>
      </c>
      <c r="C35" t="s">
        <v>27</v>
      </c>
      <c r="D35" t="s">
        <v>39</v>
      </c>
      <c r="E35" t="s">
        <v>102</v>
      </c>
      <c r="F35" t="s">
        <v>54</v>
      </c>
      <c r="G35">
        <v>6865631</v>
      </c>
      <c r="H35">
        <v>5611322</v>
      </c>
      <c r="I35">
        <v>1254309</v>
      </c>
      <c r="J35">
        <v>0.82</v>
      </c>
      <c r="K35">
        <v>11.13</v>
      </c>
      <c r="L35">
        <v>93</v>
      </c>
      <c r="M35" t="s">
        <v>69</v>
      </c>
      <c r="N35">
        <v>1</v>
      </c>
      <c r="O35" t="s">
        <v>70</v>
      </c>
      <c r="P35">
        <v>1</v>
      </c>
      <c r="Q35">
        <v>3</v>
      </c>
      <c r="R35" t="s">
        <v>91</v>
      </c>
      <c r="S35" t="s">
        <v>34</v>
      </c>
      <c r="T35">
        <v>19</v>
      </c>
      <c r="U35">
        <v>408624164</v>
      </c>
      <c r="V35" t="s">
        <v>35</v>
      </c>
      <c r="W35" s="1">
        <v>44139</v>
      </c>
      <c r="X35" s="1">
        <v>44144</v>
      </c>
      <c r="Y35" s="1">
        <v>46053</v>
      </c>
    </row>
    <row r="36" spans="1:25" x14ac:dyDescent="0.25">
      <c r="A36" t="s">
        <v>387</v>
      </c>
      <c r="B36" t="s">
        <v>264</v>
      </c>
      <c r="C36" t="s">
        <v>78</v>
      </c>
      <c r="D36" t="s">
        <v>39</v>
      </c>
      <c r="E36" t="s">
        <v>82</v>
      </c>
      <c r="F36" t="s">
        <v>54</v>
      </c>
      <c r="G36">
        <v>3209537</v>
      </c>
      <c r="H36">
        <v>2987356</v>
      </c>
      <c r="I36">
        <v>222181</v>
      </c>
      <c r="J36">
        <v>0.93</v>
      </c>
      <c r="K36">
        <v>10.37</v>
      </c>
      <c r="L36">
        <v>50</v>
      </c>
      <c r="M36" t="s">
        <v>55</v>
      </c>
      <c r="N36">
        <v>0</v>
      </c>
      <c r="O36" t="s">
        <v>56</v>
      </c>
      <c r="P36">
        <v>1</v>
      </c>
      <c r="Q36">
        <v>0</v>
      </c>
      <c r="R36" t="s">
        <v>91</v>
      </c>
      <c r="S36" t="s">
        <v>64</v>
      </c>
      <c r="T36">
        <v>19</v>
      </c>
      <c r="U36">
        <v>118700318</v>
      </c>
      <c r="V36" t="s">
        <v>58</v>
      </c>
      <c r="W36" s="1">
        <v>44982</v>
      </c>
      <c r="X36" s="1">
        <v>44983</v>
      </c>
      <c r="Y36" s="1">
        <v>46053</v>
      </c>
    </row>
    <row r="37" spans="1:25" x14ac:dyDescent="0.25">
      <c r="A37" t="s">
        <v>386</v>
      </c>
      <c r="B37" t="s">
        <v>213</v>
      </c>
      <c r="C37" t="s">
        <v>44</v>
      </c>
      <c r="D37" t="s">
        <v>52</v>
      </c>
      <c r="E37" t="s">
        <v>53</v>
      </c>
      <c r="F37" t="s">
        <v>46</v>
      </c>
      <c r="G37">
        <v>6391303</v>
      </c>
      <c r="H37">
        <v>5598068</v>
      </c>
      <c r="I37">
        <v>793235</v>
      </c>
      <c r="J37">
        <v>0.88</v>
      </c>
      <c r="K37">
        <v>11.89</v>
      </c>
      <c r="L37">
        <v>12</v>
      </c>
      <c r="M37" t="s">
        <v>31</v>
      </c>
      <c r="N37">
        <v>0</v>
      </c>
      <c r="O37" t="s">
        <v>32</v>
      </c>
      <c r="P37">
        <v>1</v>
      </c>
      <c r="Q37">
        <v>5</v>
      </c>
      <c r="R37" t="s">
        <v>91</v>
      </c>
      <c r="S37" t="s">
        <v>57</v>
      </c>
      <c r="T37">
        <v>12</v>
      </c>
      <c r="U37">
        <v>398543927</v>
      </c>
      <c r="V37" t="s">
        <v>35</v>
      </c>
      <c r="W37" s="1">
        <v>43959</v>
      </c>
      <c r="X37" s="1">
        <v>43960</v>
      </c>
      <c r="Y37" s="1">
        <v>46053</v>
      </c>
    </row>
    <row r="38" spans="1:25" x14ac:dyDescent="0.25">
      <c r="A38" t="s">
        <v>382</v>
      </c>
      <c r="B38" t="s">
        <v>383</v>
      </c>
      <c r="C38" t="s">
        <v>44</v>
      </c>
      <c r="D38" t="s">
        <v>28</v>
      </c>
      <c r="E38" t="s">
        <v>29</v>
      </c>
      <c r="F38" t="s">
        <v>68</v>
      </c>
      <c r="G38">
        <v>2211720</v>
      </c>
      <c r="H38">
        <v>1547020</v>
      </c>
      <c r="I38">
        <v>664700</v>
      </c>
      <c r="J38">
        <v>0.7</v>
      </c>
      <c r="K38">
        <v>11.06</v>
      </c>
      <c r="L38">
        <v>6</v>
      </c>
      <c r="M38" t="s">
        <v>31</v>
      </c>
      <c r="N38">
        <v>0</v>
      </c>
      <c r="O38" t="s">
        <v>32</v>
      </c>
      <c r="P38">
        <v>1</v>
      </c>
      <c r="Q38">
        <v>2</v>
      </c>
      <c r="R38" t="s">
        <v>91</v>
      </c>
      <c r="S38" t="s">
        <v>48</v>
      </c>
      <c r="T38">
        <v>23</v>
      </c>
      <c r="U38">
        <v>231332025</v>
      </c>
      <c r="V38" t="s">
        <v>65</v>
      </c>
      <c r="W38" s="1">
        <v>44861</v>
      </c>
      <c r="X38" s="1">
        <v>44863</v>
      </c>
      <c r="Y38" s="1">
        <v>46053</v>
      </c>
    </row>
    <row r="39" spans="1:25" x14ac:dyDescent="0.25">
      <c r="A39" t="s">
        <v>374</v>
      </c>
      <c r="B39" t="s">
        <v>134</v>
      </c>
      <c r="C39" t="s">
        <v>27</v>
      </c>
      <c r="D39" t="s">
        <v>28</v>
      </c>
      <c r="E39" t="s">
        <v>94</v>
      </c>
      <c r="F39" t="s">
        <v>54</v>
      </c>
      <c r="G39">
        <v>5101392</v>
      </c>
      <c r="H39">
        <v>3926718</v>
      </c>
      <c r="I39">
        <v>1174674</v>
      </c>
      <c r="J39">
        <v>0.77</v>
      </c>
      <c r="K39">
        <v>12.21</v>
      </c>
      <c r="L39">
        <v>18</v>
      </c>
      <c r="M39" t="s">
        <v>31</v>
      </c>
      <c r="N39">
        <v>0</v>
      </c>
      <c r="O39" t="s">
        <v>32</v>
      </c>
      <c r="P39">
        <v>0</v>
      </c>
      <c r="Q39">
        <v>4</v>
      </c>
      <c r="R39" t="s">
        <v>91</v>
      </c>
      <c r="S39" t="s">
        <v>34</v>
      </c>
      <c r="T39">
        <v>8</v>
      </c>
      <c r="U39">
        <v>452361827</v>
      </c>
      <c r="V39" t="s">
        <v>58</v>
      </c>
      <c r="W39" s="1">
        <v>45326</v>
      </c>
      <c r="X39" s="1">
        <v>45330</v>
      </c>
      <c r="Y39" s="1">
        <v>46053</v>
      </c>
    </row>
    <row r="40" spans="1:25" x14ac:dyDescent="0.25">
      <c r="A40" t="s">
        <v>372</v>
      </c>
      <c r="B40" t="s">
        <v>215</v>
      </c>
      <c r="C40" t="s">
        <v>44</v>
      </c>
      <c r="D40" t="s">
        <v>52</v>
      </c>
      <c r="E40" t="s">
        <v>40</v>
      </c>
      <c r="F40" t="s">
        <v>68</v>
      </c>
      <c r="G40">
        <v>2305689</v>
      </c>
      <c r="H40">
        <v>1734029</v>
      </c>
      <c r="I40">
        <v>571660</v>
      </c>
      <c r="J40">
        <v>0.75</v>
      </c>
      <c r="K40">
        <v>12.76</v>
      </c>
      <c r="L40">
        <v>13</v>
      </c>
      <c r="M40" t="s">
        <v>31</v>
      </c>
      <c r="N40">
        <v>0</v>
      </c>
      <c r="O40" t="s">
        <v>32</v>
      </c>
      <c r="P40">
        <v>1</v>
      </c>
      <c r="Q40">
        <v>2</v>
      </c>
      <c r="R40" t="s">
        <v>91</v>
      </c>
      <c r="S40" t="s">
        <v>57</v>
      </c>
      <c r="T40">
        <v>5</v>
      </c>
      <c r="U40">
        <v>74833487</v>
      </c>
      <c r="V40" t="s">
        <v>65</v>
      </c>
      <c r="W40" s="1">
        <v>44204</v>
      </c>
      <c r="X40" s="1">
        <v>44211</v>
      </c>
      <c r="Y40" s="1">
        <v>46053</v>
      </c>
    </row>
    <row r="41" spans="1:25" x14ac:dyDescent="0.25">
      <c r="A41" t="s">
        <v>143</v>
      </c>
      <c r="B41" t="s">
        <v>134</v>
      </c>
      <c r="C41" t="s">
        <v>78</v>
      </c>
      <c r="D41" t="s">
        <v>39</v>
      </c>
      <c r="E41" t="s">
        <v>53</v>
      </c>
      <c r="F41" t="s">
        <v>46</v>
      </c>
      <c r="G41">
        <v>13888713</v>
      </c>
      <c r="H41">
        <v>11313364</v>
      </c>
      <c r="I41">
        <v>2575349</v>
      </c>
      <c r="J41">
        <v>0.81</v>
      </c>
      <c r="K41">
        <v>13.3</v>
      </c>
      <c r="L41">
        <v>8</v>
      </c>
      <c r="M41" t="s">
        <v>31</v>
      </c>
      <c r="N41">
        <v>0</v>
      </c>
      <c r="O41" t="s">
        <v>32</v>
      </c>
      <c r="P41">
        <v>1</v>
      </c>
      <c r="Q41">
        <v>0</v>
      </c>
      <c r="R41" t="s">
        <v>91</v>
      </c>
      <c r="S41" t="s">
        <v>57</v>
      </c>
      <c r="T41">
        <v>8</v>
      </c>
      <c r="U41">
        <v>279932587</v>
      </c>
      <c r="V41" t="s">
        <v>58</v>
      </c>
      <c r="W41" s="1">
        <v>44356</v>
      </c>
      <c r="X41" s="1">
        <v>44364</v>
      </c>
      <c r="Y41" s="1">
        <v>46053</v>
      </c>
    </row>
    <row r="42" spans="1:25" x14ac:dyDescent="0.25">
      <c r="A42" t="s">
        <v>144</v>
      </c>
      <c r="B42" t="s">
        <v>145</v>
      </c>
      <c r="C42" t="s">
        <v>78</v>
      </c>
      <c r="D42" t="s">
        <v>61</v>
      </c>
      <c r="E42" t="s">
        <v>29</v>
      </c>
      <c r="F42" t="s">
        <v>46</v>
      </c>
      <c r="G42">
        <v>10071301</v>
      </c>
      <c r="H42">
        <v>7395227</v>
      </c>
      <c r="I42">
        <v>2676074</v>
      </c>
      <c r="J42">
        <v>0.73</v>
      </c>
      <c r="K42">
        <v>12.06</v>
      </c>
      <c r="L42">
        <v>22</v>
      </c>
      <c r="M42" t="s">
        <v>31</v>
      </c>
      <c r="N42">
        <v>0</v>
      </c>
      <c r="O42" t="s">
        <v>32</v>
      </c>
      <c r="P42">
        <v>0</v>
      </c>
      <c r="Q42">
        <v>0</v>
      </c>
      <c r="R42" t="s">
        <v>91</v>
      </c>
      <c r="S42" t="s">
        <v>57</v>
      </c>
      <c r="T42">
        <v>7</v>
      </c>
      <c r="U42">
        <v>416538035</v>
      </c>
      <c r="V42" t="s">
        <v>35</v>
      </c>
      <c r="W42" s="1">
        <v>44693</v>
      </c>
      <c r="X42" s="1">
        <v>44697</v>
      </c>
      <c r="Y42" s="1">
        <v>46053</v>
      </c>
    </row>
    <row r="43" spans="1:25" x14ac:dyDescent="0.25">
      <c r="A43" t="s">
        <v>364</v>
      </c>
      <c r="B43" t="s">
        <v>134</v>
      </c>
      <c r="C43" t="s">
        <v>44</v>
      </c>
      <c r="D43" t="s">
        <v>39</v>
      </c>
      <c r="E43" t="s">
        <v>45</v>
      </c>
      <c r="F43" t="s">
        <v>30</v>
      </c>
      <c r="G43">
        <v>11503672</v>
      </c>
      <c r="H43">
        <v>8930344</v>
      </c>
      <c r="I43">
        <v>2573328</v>
      </c>
      <c r="J43">
        <v>0.78</v>
      </c>
      <c r="K43">
        <v>12.88</v>
      </c>
      <c r="L43">
        <v>43</v>
      </c>
      <c r="M43" t="s">
        <v>55</v>
      </c>
      <c r="N43">
        <v>0</v>
      </c>
      <c r="O43" t="s">
        <v>56</v>
      </c>
      <c r="P43">
        <v>1</v>
      </c>
      <c r="Q43">
        <v>3</v>
      </c>
      <c r="R43" t="s">
        <v>91</v>
      </c>
      <c r="S43" t="s">
        <v>34</v>
      </c>
      <c r="T43">
        <v>13</v>
      </c>
      <c r="U43">
        <v>298184539</v>
      </c>
      <c r="V43" t="s">
        <v>49</v>
      </c>
      <c r="W43" s="1">
        <v>44977</v>
      </c>
      <c r="X43" s="1">
        <v>44979</v>
      </c>
      <c r="Y43" s="1">
        <v>46053</v>
      </c>
    </row>
    <row r="44" spans="1:25" x14ac:dyDescent="0.25">
      <c r="A44" t="s">
        <v>363</v>
      </c>
      <c r="B44" t="s">
        <v>360</v>
      </c>
      <c r="C44" t="s">
        <v>38</v>
      </c>
      <c r="D44" t="s">
        <v>52</v>
      </c>
      <c r="E44" t="s">
        <v>97</v>
      </c>
      <c r="F44" t="s">
        <v>30</v>
      </c>
      <c r="G44">
        <v>2138144</v>
      </c>
      <c r="H44">
        <v>1699937</v>
      </c>
      <c r="I44">
        <v>438207</v>
      </c>
      <c r="J44">
        <v>0.8</v>
      </c>
      <c r="K44">
        <v>10.28</v>
      </c>
      <c r="L44">
        <v>28</v>
      </c>
      <c r="M44" t="s">
        <v>31</v>
      </c>
      <c r="N44">
        <v>0</v>
      </c>
      <c r="O44" t="s">
        <v>32</v>
      </c>
      <c r="P44">
        <v>0</v>
      </c>
      <c r="Q44">
        <v>4</v>
      </c>
      <c r="R44" t="s">
        <v>91</v>
      </c>
      <c r="S44" t="s">
        <v>48</v>
      </c>
      <c r="T44">
        <v>9</v>
      </c>
      <c r="U44">
        <v>486018839</v>
      </c>
      <c r="V44" t="s">
        <v>35</v>
      </c>
      <c r="W44" s="1">
        <v>44472</v>
      </c>
      <c r="X44" s="1">
        <v>44478</v>
      </c>
      <c r="Y44" s="1">
        <v>46053</v>
      </c>
    </row>
    <row r="45" spans="1:25" x14ac:dyDescent="0.25">
      <c r="A45" t="s">
        <v>351</v>
      </c>
      <c r="B45" t="s">
        <v>352</v>
      </c>
      <c r="C45" t="s">
        <v>78</v>
      </c>
      <c r="D45" t="s">
        <v>28</v>
      </c>
      <c r="E45" t="s">
        <v>73</v>
      </c>
      <c r="F45" t="s">
        <v>68</v>
      </c>
      <c r="G45">
        <v>6960158</v>
      </c>
      <c r="H45">
        <v>5289339</v>
      </c>
      <c r="I45">
        <v>1670819</v>
      </c>
      <c r="J45">
        <v>0.76</v>
      </c>
      <c r="K45">
        <v>11.71</v>
      </c>
      <c r="L45">
        <v>18</v>
      </c>
      <c r="M45" t="s">
        <v>31</v>
      </c>
      <c r="N45">
        <v>0</v>
      </c>
      <c r="O45" t="s">
        <v>32</v>
      </c>
      <c r="P45">
        <v>1</v>
      </c>
      <c r="Q45">
        <v>0</v>
      </c>
      <c r="R45" t="s">
        <v>91</v>
      </c>
      <c r="S45" t="s">
        <v>79</v>
      </c>
      <c r="T45">
        <v>13</v>
      </c>
      <c r="U45">
        <v>320620468</v>
      </c>
      <c r="V45" t="s">
        <v>65</v>
      </c>
      <c r="W45" s="1">
        <v>44089</v>
      </c>
      <c r="X45" s="1">
        <v>44099</v>
      </c>
      <c r="Y45" s="1">
        <v>46053</v>
      </c>
    </row>
    <row r="46" spans="1:25" x14ac:dyDescent="0.25">
      <c r="A46" t="s">
        <v>348</v>
      </c>
      <c r="B46" t="s">
        <v>279</v>
      </c>
      <c r="C46" t="s">
        <v>27</v>
      </c>
      <c r="D46" t="s">
        <v>28</v>
      </c>
      <c r="E46" t="s">
        <v>45</v>
      </c>
      <c r="F46" t="s">
        <v>54</v>
      </c>
      <c r="G46">
        <v>11367093</v>
      </c>
      <c r="H46">
        <v>10051453</v>
      </c>
      <c r="I46">
        <v>1315640</v>
      </c>
      <c r="J46">
        <v>0.88</v>
      </c>
      <c r="K46">
        <v>13.27</v>
      </c>
      <c r="L46">
        <v>11</v>
      </c>
      <c r="M46" t="s">
        <v>31</v>
      </c>
      <c r="N46">
        <v>0</v>
      </c>
      <c r="O46" t="s">
        <v>32</v>
      </c>
      <c r="P46">
        <v>0</v>
      </c>
      <c r="Q46">
        <v>4</v>
      </c>
      <c r="R46" t="s">
        <v>91</v>
      </c>
      <c r="S46" t="s">
        <v>48</v>
      </c>
      <c r="T46">
        <v>8</v>
      </c>
      <c r="U46">
        <v>457605093</v>
      </c>
      <c r="V46" t="s">
        <v>35</v>
      </c>
      <c r="W46" s="1">
        <v>44569</v>
      </c>
      <c r="X46" s="1">
        <v>44570</v>
      </c>
      <c r="Y46" s="1">
        <v>46053</v>
      </c>
    </row>
    <row r="47" spans="1:25" x14ac:dyDescent="0.25">
      <c r="A47" t="s">
        <v>339</v>
      </c>
      <c r="B47" t="s">
        <v>340</v>
      </c>
      <c r="C47" t="s">
        <v>44</v>
      </c>
      <c r="D47" t="s">
        <v>61</v>
      </c>
      <c r="E47" t="s">
        <v>40</v>
      </c>
      <c r="F47" t="s">
        <v>54</v>
      </c>
      <c r="G47">
        <v>11432760</v>
      </c>
      <c r="H47">
        <v>8125340</v>
      </c>
      <c r="I47">
        <v>3307420</v>
      </c>
      <c r="J47">
        <v>0.71</v>
      </c>
      <c r="K47">
        <v>12.67</v>
      </c>
      <c r="L47">
        <v>9</v>
      </c>
      <c r="M47" t="s">
        <v>31</v>
      </c>
      <c r="N47">
        <v>0</v>
      </c>
      <c r="O47" t="s">
        <v>32</v>
      </c>
      <c r="P47">
        <v>0</v>
      </c>
      <c r="Q47">
        <v>0</v>
      </c>
      <c r="R47" t="s">
        <v>91</v>
      </c>
      <c r="S47" t="s">
        <v>79</v>
      </c>
      <c r="T47">
        <v>24</v>
      </c>
      <c r="U47">
        <v>380955360</v>
      </c>
      <c r="V47" t="s">
        <v>58</v>
      </c>
      <c r="W47" s="1">
        <v>45213</v>
      </c>
      <c r="X47" s="1">
        <v>45217</v>
      </c>
      <c r="Y47" s="1">
        <v>46053</v>
      </c>
    </row>
    <row r="48" spans="1:25" x14ac:dyDescent="0.25">
      <c r="A48" t="s">
        <v>332</v>
      </c>
      <c r="B48" t="s">
        <v>333</v>
      </c>
      <c r="C48" t="s">
        <v>38</v>
      </c>
      <c r="D48" t="s">
        <v>61</v>
      </c>
      <c r="E48" t="s">
        <v>73</v>
      </c>
      <c r="F48" t="s">
        <v>30</v>
      </c>
      <c r="G48">
        <v>4704793</v>
      </c>
      <c r="H48">
        <v>3186423</v>
      </c>
      <c r="I48">
        <v>1518370</v>
      </c>
      <c r="J48">
        <v>0.68</v>
      </c>
      <c r="K48">
        <v>10.45</v>
      </c>
      <c r="L48">
        <v>19</v>
      </c>
      <c r="M48" t="s">
        <v>31</v>
      </c>
      <c r="N48">
        <v>0</v>
      </c>
      <c r="O48" t="s">
        <v>32</v>
      </c>
      <c r="P48">
        <v>1</v>
      </c>
      <c r="Q48">
        <v>4</v>
      </c>
      <c r="R48" t="s">
        <v>91</v>
      </c>
      <c r="S48" t="s">
        <v>48</v>
      </c>
      <c r="T48">
        <v>7</v>
      </c>
      <c r="U48">
        <v>224907018</v>
      </c>
      <c r="V48" t="s">
        <v>49</v>
      </c>
      <c r="W48" s="1">
        <v>44582</v>
      </c>
      <c r="X48" s="1">
        <v>44588</v>
      </c>
      <c r="Y48" s="1">
        <v>46053</v>
      </c>
    </row>
    <row r="49" spans="1:25" x14ac:dyDescent="0.25">
      <c r="A49" t="s">
        <v>325</v>
      </c>
      <c r="B49" t="s">
        <v>213</v>
      </c>
      <c r="C49" t="s">
        <v>78</v>
      </c>
      <c r="D49" t="s">
        <v>52</v>
      </c>
      <c r="E49" t="s">
        <v>40</v>
      </c>
      <c r="F49" t="s">
        <v>30</v>
      </c>
      <c r="G49">
        <v>6450710</v>
      </c>
      <c r="H49">
        <v>4515563</v>
      </c>
      <c r="I49">
        <v>1935147</v>
      </c>
      <c r="J49">
        <v>0.7</v>
      </c>
      <c r="K49">
        <v>12.99</v>
      </c>
      <c r="L49">
        <v>19</v>
      </c>
      <c r="M49" t="s">
        <v>31</v>
      </c>
      <c r="N49">
        <v>0</v>
      </c>
      <c r="O49" t="s">
        <v>32</v>
      </c>
      <c r="P49">
        <v>0</v>
      </c>
      <c r="Q49">
        <v>0</v>
      </c>
      <c r="R49" t="s">
        <v>91</v>
      </c>
      <c r="S49" t="s">
        <v>57</v>
      </c>
      <c r="T49">
        <v>10</v>
      </c>
      <c r="U49">
        <v>198152209</v>
      </c>
      <c r="V49" t="s">
        <v>65</v>
      </c>
      <c r="W49" s="1">
        <v>44731</v>
      </c>
      <c r="X49" s="1">
        <v>44735</v>
      </c>
      <c r="Y49" s="1">
        <v>46053</v>
      </c>
    </row>
    <row r="50" spans="1:25" x14ac:dyDescent="0.25">
      <c r="A50" t="s">
        <v>314</v>
      </c>
      <c r="B50" t="s">
        <v>315</v>
      </c>
      <c r="C50" t="s">
        <v>38</v>
      </c>
      <c r="D50" t="s">
        <v>61</v>
      </c>
      <c r="E50" t="s">
        <v>53</v>
      </c>
      <c r="F50" t="s">
        <v>30</v>
      </c>
      <c r="G50">
        <v>2797698</v>
      </c>
      <c r="H50">
        <v>2108960</v>
      </c>
      <c r="I50">
        <v>688738</v>
      </c>
      <c r="J50">
        <v>0.75</v>
      </c>
      <c r="K50">
        <v>14.07</v>
      </c>
      <c r="L50">
        <v>24</v>
      </c>
      <c r="M50" t="s">
        <v>31</v>
      </c>
      <c r="N50">
        <v>0</v>
      </c>
      <c r="O50" t="s">
        <v>32</v>
      </c>
      <c r="P50">
        <v>1</v>
      </c>
      <c r="Q50">
        <v>4</v>
      </c>
      <c r="R50" t="s">
        <v>91</v>
      </c>
      <c r="S50" t="s">
        <v>34</v>
      </c>
      <c r="T50">
        <v>16</v>
      </c>
      <c r="U50">
        <v>410223506</v>
      </c>
      <c r="V50" t="s">
        <v>35</v>
      </c>
      <c r="W50" s="1">
        <v>43894</v>
      </c>
      <c r="X50" s="1">
        <v>43898</v>
      </c>
      <c r="Y50" s="1">
        <v>46053</v>
      </c>
    </row>
    <row r="51" spans="1:25" x14ac:dyDescent="0.25">
      <c r="A51" t="s">
        <v>307</v>
      </c>
      <c r="B51" t="s">
        <v>219</v>
      </c>
      <c r="C51" t="s">
        <v>27</v>
      </c>
      <c r="D51" t="s">
        <v>61</v>
      </c>
      <c r="E51" t="s">
        <v>102</v>
      </c>
      <c r="F51" t="s">
        <v>68</v>
      </c>
      <c r="G51">
        <v>13737709</v>
      </c>
      <c r="H51">
        <v>10582695</v>
      </c>
      <c r="I51">
        <v>3155014</v>
      </c>
      <c r="J51">
        <v>0.77</v>
      </c>
      <c r="K51">
        <v>11.15</v>
      </c>
      <c r="L51">
        <v>24</v>
      </c>
      <c r="M51" t="s">
        <v>31</v>
      </c>
      <c r="N51">
        <v>0</v>
      </c>
      <c r="O51" t="s">
        <v>32</v>
      </c>
      <c r="P51">
        <v>1</v>
      </c>
      <c r="Q51">
        <v>2</v>
      </c>
      <c r="R51" t="s">
        <v>91</v>
      </c>
      <c r="S51" t="s">
        <v>79</v>
      </c>
      <c r="T51">
        <v>13</v>
      </c>
      <c r="U51">
        <v>269928362</v>
      </c>
      <c r="V51" t="s">
        <v>58</v>
      </c>
      <c r="W51" s="1">
        <v>44251</v>
      </c>
      <c r="X51" s="1">
        <v>44252</v>
      </c>
      <c r="Y51" s="1">
        <v>46053</v>
      </c>
    </row>
    <row r="52" spans="1:25" x14ac:dyDescent="0.25">
      <c r="A52" t="s">
        <v>303</v>
      </c>
      <c r="B52" t="s">
        <v>219</v>
      </c>
      <c r="C52" t="s">
        <v>38</v>
      </c>
      <c r="D52" t="s">
        <v>39</v>
      </c>
      <c r="E52" t="s">
        <v>85</v>
      </c>
      <c r="F52" t="s">
        <v>54</v>
      </c>
      <c r="G52">
        <v>11133532</v>
      </c>
      <c r="H52">
        <v>8702551</v>
      </c>
      <c r="I52">
        <v>2430981</v>
      </c>
      <c r="J52">
        <v>0.78</v>
      </c>
      <c r="K52">
        <v>13.75</v>
      </c>
      <c r="L52">
        <v>5</v>
      </c>
      <c r="M52" t="s">
        <v>31</v>
      </c>
      <c r="N52">
        <v>0</v>
      </c>
      <c r="O52" t="s">
        <v>32</v>
      </c>
      <c r="P52">
        <v>0</v>
      </c>
      <c r="Q52">
        <v>0</v>
      </c>
      <c r="R52" t="s">
        <v>91</v>
      </c>
      <c r="S52" t="s">
        <v>64</v>
      </c>
      <c r="T52">
        <v>11</v>
      </c>
      <c r="U52">
        <v>481920573</v>
      </c>
      <c r="V52" t="s">
        <v>65</v>
      </c>
      <c r="W52" s="1">
        <v>44790</v>
      </c>
      <c r="X52" s="1">
        <v>44795</v>
      </c>
      <c r="Y52" s="1">
        <v>46053</v>
      </c>
    </row>
    <row r="53" spans="1:25" x14ac:dyDescent="0.25">
      <c r="A53" t="s">
        <v>295</v>
      </c>
      <c r="B53" t="s">
        <v>296</v>
      </c>
      <c r="C53" t="s">
        <v>44</v>
      </c>
      <c r="D53" t="s">
        <v>28</v>
      </c>
      <c r="E53" t="s">
        <v>97</v>
      </c>
      <c r="F53" t="s">
        <v>68</v>
      </c>
      <c r="G53">
        <v>8946106</v>
      </c>
      <c r="H53">
        <v>6713210</v>
      </c>
      <c r="I53">
        <v>2232896</v>
      </c>
      <c r="J53">
        <v>0.75</v>
      </c>
      <c r="K53">
        <v>10.28</v>
      </c>
      <c r="L53">
        <v>29</v>
      </c>
      <c r="M53" t="s">
        <v>31</v>
      </c>
      <c r="N53">
        <v>0</v>
      </c>
      <c r="O53" t="s">
        <v>32</v>
      </c>
      <c r="P53">
        <v>0</v>
      </c>
      <c r="Q53">
        <v>5</v>
      </c>
      <c r="R53" t="s">
        <v>91</v>
      </c>
      <c r="S53" t="s">
        <v>48</v>
      </c>
      <c r="T53">
        <v>5</v>
      </c>
      <c r="U53">
        <v>79140380</v>
      </c>
      <c r="V53" t="s">
        <v>58</v>
      </c>
      <c r="W53" s="1">
        <v>44786</v>
      </c>
      <c r="X53" s="1">
        <v>44795</v>
      </c>
      <c r="Y53" s="1">
        <v>46053</v>
      </c>
    </row>
    <row r="54" spans="1:25" x14ac:dyDescent="0.25">
      <c r="A54" t="s">
        <v>292</v>
      </c>
      <c r="B54" t="s">
        <v>75</v>
      </c>
      <c r="C54" t="s">
        <v>44</v>
      </c>
      <c r="D54" t="s">
        <v>28</v>
      </c>
      <c r="E54" t="s">
        <v>29</v>
      </c>
      <c r="F54" t="s">
        <v>30</v>
      </c>
      <c r="G54">
        <v>12935803</v>
      </c>
      <c r="H54">
        <v>11188153</v>
      </c>
      <c r="I54">
        <v>1747650</v>
      </c>
      <c r="J54">
        <v>0.86</v>
      </c>
      <c r="K54">
        <v>9.3800000000000008</v>
      </c>
      <c r="L54">
        <v>21</v>
      </c>
      <c r="M54" t="s">
        <v>31</v>
      </c>
      <c r="N54">
        <v>0</v>
      </c>
      <c r="O54" t="s">
        <v>32</v>
      </c>
      <c r="P54">
        <v>0</v>
      </c>
      <c r="Q54">
        <v>0</v>
      </c>
      <c r="R54" t="s">
        <v>91</v>
      </c>
      <c r="S54" t="s">
        <v>48</v>
      </c>
      <c r="T54">
        <v>18</v>
      </c>
      <c r="U54">
        <v>275874074</v>
      </c>
      <c r="V54" t="s">
        <v>35</v>
      </c>
      <c r="W54" s="1">
        <v>43892</v>
      </c>
      <c r="X54" s="1">
        <v>43893</v>
      </c>
      <c r="Y54" s="1">
        <v>46053</v>
      </c>
    </row>
    <row r="55" spans="1:25" x14ac:dyDescent="0.25">
      <c r="A55" t="s">
        <v>169</v>
      </c>
      <c r="B55" t="s">
        <v>75</v>
      </c>
      <c r="C55" t="s">
        <v>78</v>
      </c>
      <c r="D55" t="s">
        <v>61</v>
      </c>
      <c r="E55" t="s">
        <v>45</v>
      </c>
      <c r="F55" t="s">
        <v>54</v>
      </c>
      <c r="G55">
        <v>7008359</v>
      </c>
      <c r="H55">
        <v>5192798</v>
      </c>
      <c r="I55">
        <v>1815561</v>
      </c>
      <c r="J55">
        <v>0.74</v>
      </c>
      <c r="K55">
        <v>11.87</v>
      </c>
      <c r="L55">
        <v>17</v>
      </c>
      <c r="M55" t="s">
        <v>31</v>
      </c>
      <c r="N55">
        <v>0</v>
      </c>
      <c r="O55" t="s">
        <v>32</v>
      </c>
      <c r="P55">
        <v>1</v>
      </c>
      <c r="Q55">
        <v>5</v>
      </c>
      <c r="R55" t="s">
        <v>91</v>
      </c>
      <c r="S55" t="s">
        <v>64</v>
      </c>
      <c r="T55">
        <v>4</v>
      </c>
      <c r="U55">
        <v>229717324</v>
      </c>
      <c r="V55" t="s">
        <v>58</v>
      </c>
      <c r="W55" s="1">
        <v>44445</v>
      </c>
      <c r="X55" s="1">
        <v>44447</v>
      </c>
      <c r="Y55" s="1">
        <v>46053</v>
      </c>
    </row>
    <row r="56" spans="1:25" x14ac:dyDescent="0.25">
      <c r="A56" t="s">
        <v>290</v>
      </c>
      <c r="B56" t="s">
        <v>291</v>
      </c>
      <c r="C56" t="s">
        <v>38</v>
      </c>
      <c r="D56" t="s">
        <v>39</v>
      </c>
      <c r="E56" t="s">
        <v>40</v>
      </c>
      <c r="F56" t="s">
        <v>30</v>
      </c>
      <c r="G56">
        <v>2772771</v>
      </c>
      <c r="H56">
        <v>2476796</v>
      </c>
      <c r="I56">
        <v>295975</v>
      </c>
      <c r="J56">
        <v>0.89</v>
      </c>
      <c r="K56">
        <v>10.98</v>
      </c>
      <c r="L56">
        <v>1</v>
      </c>
      <c r="M56" t="s">
        <v>31</v>
      </c>
      <c r="N56">
        <v>0</v>
      </c>
      <c r="O56" t="s">
        <v>32</v>
      </c>
      <c r="P56">
        <v>1</v>
      </c>
      <c r="Q56">
        <v>3</v>
      </c>
      <c r="R56" t="s">
        <v>91</v>
      </c>
      <c r="S56" t="s">
        <v>34</v>
      </c>
      <c r="T56">
        <v>21</v>
      </c>
      <c r="U56">
        <v>399028965</v>
      </c>
      <c r="V56" t="s">
        <v>58</v>
      </c>
      <c r="W56" s="1">
        <v>44664</v>
      </c>
      <c r="X56" s="1">
        <v>44674</v>
      </c>
      <c r="Y56" s="1">
        <v>46053</v>
      </c>
    </row>
    <row r="57" spans="1:25" x14ac:dyDescent="0.25">
      <c r="A57" t="s">
        <v>172</v>
      </c>
      <c r="B57" t="s">
        <v>151</v>
      </c>
      <c r="C57" t="s">
        <v>27</v>
      </c>
      <c r="D57" t="s">
        <v>28</v>
      </c>
      <c r="E57" t="s">
        <v>45</v>
      </c>
      <c r="F57" t="s">
        <v>46</v>
      </c>
      <c r="G57">
        <v>4710015</v>
      </c>
      <c r="H57">
        <v>4299367</v>
      </c>
      <c r="I57">
        <v>410648</v>
      </c>
      <c r="J57">
        <v>0.91</v>
      </c>
      <c r="K57">
        <v>11.17</v>
      </c>
      <c r="L57">
        <v>64</v>
      </c>
      <c r="M57" t="s">
        <v>90</v>
      </c>
      <c r="N57">
        <v>0</v>
      </c>
      <c r="O57" t="s">
        <v>70</v>
      </c>
      <c r="P57">
        <v>0</v>
      </c>
      <c r="Q57">
        <v>3</v>
      </c>
      <c r="R57" t="s">
        <v>91</v>
      </c>
      <c r="S57" t="s">
        <v>34</v>
      </c>
      <c r="T57">
        <v>18</v>
      </c>
      <c r="U57">
        <v>252780130</v>
      </c>
      <c r="V57" t="s">
        <v>65</v>
      </c>
      <c r="W57" s="1">
        <v>44140</v>
      </c>
      <c r="X57" s="1">
        <v>44142</v>
      </c>
      <c r="Y57" s="1">
        <v>46053</v>
      </c>
    </row>
    <row r="58" spans="1:25" x14ac:dyDescent="0.25">
      <c r="A58" t="s">
        <v>288</v>
      </c>
      <c r="B58" t="s">
        <v>289</v>
      </c>
      <c r="C58" t="s">
        <v>78</v>
      </c>
      <c r="D58" t="s">
        <v>39</v>
      </c>
      <c r="E58" t="s">
        <v>82</v>
      </c>
      <c r="F58" t="s">
        <v>54</v>
      </c>
      <c r="G58">
        <v>6094016</v>
      </c>
      <c r="H58">
        <v>5149218</v>
      </c>
      <c r="I58">
        <v>944798</v>
      </c>
      <c r="J58">
        <v>0.84</v>
      </c>
      <c r="K58">
        <v>9.58</v>
      </c>
      <c r="L58">
        <v>3</v>
      </c>
      <c r="M58" t="s">
        <v>31</v>
      </c>
      <c r="N58">
        <v>0</v>
      </c>
      <c r="O58" t="s">
        <v>32</v>
      </c>
      <c r="P58">
        <v>1</v>
      </c>
      <c r="Q58">
        <v>2</v>
      </c>
      <c r="R58" t="s">
        <v>91</v>
      </c>
      <c r="S58" t="s">
        <v>34</v>
      </c>
      <c r="T58">
        <v>4</v>
      </c>
      <c r="U58">
        <v>52666031</v>
      </c>
      <c r="V58" t="s">
        <v>58</v>
      </c>
      <c r="W58" s="1">
        <v>44817</v>
      </c>
      <c r="X58" s="1">
        <v>44826</v>
      </c>
      <c r="Y58" s="1">
        <v>46053</v>
      </c>
    </row>
    <row r="59" spans="1:25" x14ac:dyDescent="0.25">
      <c r="A59" t="s">
        <v>285</v>
      </c>
      <c r="B59" t="s">
        <v>286</v>
      </c>
      <c r="C59" t="s">
        <v>38</v>
      </c>
      <c r="D59" t="s">
        <v>39</v>
      </c>
      <c r="E59" t="s">
        <v>45</v>
      </c>
      <c r="F59" t="s">
        <v>68</v>
      </c>
      <c r="G59">
        <v>5751316</v>
      </c>
      <c r="H59">
        <v>5093371</v>
      </c>
      <c r="I59">
        <v>657945</v>
      </c>
      <c r="J59">
        <v>0.89</v>
      </c>
      <c r="K59">
        <v>13.95</v>
      </c>
      <c r="L59">
        <v>149</v>
      </c>
      <c r="M59" t="s">
        <v>69</v>
      </c>
      <c r="N59">
        <v>1</v>
      </c>
      <c r="O59" t="s">
        <v>70</v>
      </c>
      <c r="P59">
        <v>0</v>
      </c>
      <c r="Q59">
        <v>5</v>
      </c>
      <c r="R59" t="s">
        <v>91</v>
      </c>
      <c r="S59" t="s">
        <v>48</v>
      </c>
      <c r="T59">
        <v>6</v>
      </c>
      <c r="U59">
        <v>432980686</v>
      </c>
      <c r="V59" t="s">
        <v>35</v>
      </c>
      <c r="W59" s="1">
        <v>43905</v>
      </c>
      <c r="X59" s="1">
        <v>43914</v>
      </c>
      <c r="Y59" s="1">
        <v>46053</v>
      </c>
    </row>
    <row r="60" spans="1:25" x14ac:dyDescent="0.25">
      <c r="A60" t="s">
        <v>280</v>
      </c>
      <c r="B60" t="s">
        <v>281</v>
      </c>
      <c r="C60" t="s">
        <v>38</v>
      </c>
      <c r="D60" t="s">
        <v>52</v>
      </c>
      <c r="E60" t="s">
        <v>29</v>
      </c>
      <c r="F60" t="s">
        <v>68</v>
      </c>
      <c r="G60">
        <v>7965826</v>
      </c>
      <c r="H60">
        <v>7043385</v>
      </c>
      <c r="I60">
        <v>922441</v>
      </c>
      <c r="J60">
        <v>0.88</v>
      </c>
      <c r="K60">
        <v>13.32</v>
      </c>
      <c r="L60">
        <v>4</v>
      </c>
      <c r="M60" t="s">
        <v>31</v>
      </c>
      <c r="N60">
        <v>0</v>
      </c>
      <c r="O60" t="s">
        <v>32</v>
      </c>
      <c r="P60">
        <v>0</v>
      </c>
      <c r="Q60">
        <v>2</v>
      </c>
      <c r="R60" t="s">
        <v>91</v>
      </c>
      <c r="S60" t="s">
        <v>34</v>
      </c>
      <c r="T60">
        <v>24</v>
      </c>
      <c r="U60">
        <v>123157653</v>
      </c>
      <c r="V60" t="s">
        <v>49</v>
      </c>
      <c r="W60" s="1">
        <v>44769</v>
      </c>
      <c r="X60" s="1">
        <v>44776</v>
      </c>
      <c r="Y60" s="1">
        <v>46053</v>
      </c>
    </row>
    <row r="61" spans="1:25" x14ac:dyDescent="0.25">
      <c r="A61" t="s">
        <v>275</v>
      </c>
      <c r="B61" t="s">
        <v>276</v>
      </c>
      <c r="C61" t="s">
        <v>27</v>
      </c>
      <c r="D61" t="s">
        <v>28</v>
      </c>
      <c r="E61" t="s">
        <v>73</v>
      </c>
      <c r="F61" t="s">
        <v>68</v>
      </c>
      <c r="G61">
        <v>10003097</v>
      </c>
      <c r="H61">
        <v>6696540</v>
      </c>
      <c r="I61">
        <v>3306557</v>
      </c>
      <c r="J61">
        <v>0.67</v>
      </c>
      <c r="K61">
        <v>13.21</v>
      </c>
      <c r="L61">
        <v>19</v>
      </c>
      <c r="M61" t="s">
        <v>31</v>
      </c>
      <c r="N61">
        <v>0</v>
      </c>
      <c r="O61" t="s">
        <v>32</v>
      </c>
      <c r="P61">
        <v>1</v>
      </c>
      <c r="Q61">
        <v>0</v>
      </c>
      <c r="R61" t="s">
        <v>91</v>
      </c>
      <c r="S61" t="s">
        <v>64</v>
      </c>
      <c r="T61">
        <v>12</v>
      </c>
      <c r="U61">
        <v>9384343</v>
      </c>
      <c r="V61" t="s">
        <v>35</v>
      </c>
      <c r="W61" s="1">
        <v>45203</v>
      </c>
      <c r="X61" s="1">
        <v>45208</v>
      </c>
      <c r="Y61" s="1">
        <v>46053</v>
      </c>
    </row>
    <row r="62" spans="1:25" x14ac:dyDescent="0.25">
      <c r="A62" t="s">
        <v>269</v>
      </c>
      <c r="B62" t="s">
        <v>270</v>
      </c>
      <c r="C62" t="s">
        <v>27</v>
      </c>
      <c r="D62" t="s">
        <v>28</v>
      </c>
      <c r="E62" t="s">
        <v>94</v>
      </c>
      <c r="F62" t="s">
        <v>46</v>
      </c>
      <c r="G62">
        <v>11869386</v>
      </c>
      <c r="H62">
        <v>9898810</v>
      </c>
      <c r="I62">
        <v>1970576</v>
      </c>
      <c r="J62">
        <v>0.83</v>
      </c>
      <c r="K62">
        <v>11.54</v>
      </c>
      <c r="L62">
        <v>18</v>
      </c>
      <c r="M62" t="s">
        <v>31</v>
      </c>
      <c r="N62">
        <v>0</v>
      </c>
      <c r="O62" t="s">
        <v>32</v>
      </c>
      <c r="P62">
        <v>0</v>
      </c>
      <c r="Q62">
        <v>5</v>
      </c>
      <c r="R62" t="s">
        <v>91</v>
      </c>
      <c r="S62" t="s">
        <v>48</v>
      </c>
      <c r="T62">
        <v>19</v>
      </c>
      <c r="U62">
        <v>200615092</v>
      </c>
      <c r="V62" t="s">
        <v>49</v>
      </c>
      <c r="W62" s="1">
        <v>45312</v>
      </c>
      <c r="X62" s="1">
        <v>45315</v>
      </c>
      <c r="Y62" s="1">
        <v>46053</v>
      </c>
    </row>
    <row r="63" spans="1:25" x14ac:dyDescent="0.25">
      <c r="A63" t="s">
        <v>263</v>
      </c>
      <c r="B63" t="s">
        <v>264</v>
      </c>
      <c r="C63" t="s">
        <v>38</v>
      </c>
      <c r="D63" t="s">
        <v>39</v>
      </c>
      <c r="E63" t="s">
        <v>82</v>
      </c>
      <c r="F63" t="s">
        <v>30</v>
      </c>
      <c r="G63">
        <v>4318183</v>
      </c>
      <c r="H63">
        <v>3610382</v>
      </c>
      <c r="I63">
        <v>707801</v>
      </c>
      <c r="J63">
        <v>0.84</v>
      </c>
      <c r="K63">
        <v>11.83</v>
      </c>
      <c r="L63">
        <v>27</v>
      </c>
      <c r="M63" t="s">
        <v>31</v>
      </c>
      <c r="N63">
        <v>0</v>
      </c>
      <c r="O63" t="s">
        <v>32</v>
      </c>
      <c r="P63">
        <v>1</v>
      </c>
      <c r="Q63">
        <v>2</v>
      </c>
      <c r="R63" t="s">
        <v>91</v>
      </c>
      <c r="S63" t="s">
        <v>79</v>
      </c>
      <c r="T63">
        <v>3</v>
      </c>
      <c r="U63">
        <v>55100257</v>
      </c>
      <c r="V63" t="s">
        <v>65</v>
      </c>
      <c r="W63" s="1">
        <v>45294</v>
      </c>
      <c r="X63" s="1">
        <v>45304</v>
      </c>
      <c r="Y63" s="1">
        <v>46053</v>
      </c>
    </row>
    <row r="64" spans="1:25" x14ac:dyDescent="0.25">
      <c r="A64" t="s">
        <v>183</v>
      </c>
      <c r="B64" t="s">
        <v>184</v>
      </c>
      <c r="C64" t="s">
        <v>38</v>
      </c>
      <c r="D64" t="s">
        <v>39</v>
      </c>
      <c r="E64" t="s">
        <v>73</v>
      </c>
      <c r="F64" t="s">
        <v>54</v>
      </c>
      <c r="G64">
        <v>7339577</v>
      </c>
      <c r="H64">
        <v>5697160</v>
      </c>
      <c r="I64">
        <v>1642417</v>
      </c>
      <c r="J64">
        <v>0.78</v>
      </c>
      <c r="K64">
        <v>11.38</v>
      </c>
      <c r="L64">
        <v>163</v>
      </c>
      <c r="M64" t="s">
        <v>69</v>
      </c>
      <c r="N64">
        <v>1</v>
      </c>
      <c r="O64" t="s">
        <v>70</v>
      </c>
      <c r="P64">
        <v>1</v>
      </c>
      <c r="Q64">
        <v>3</v>
      </c>
      <c r="R64" t="s">
        <v>91</v>
      </c>
      <c r="S64" t="s">
        <v>64</v>
      </c>
      <c r="T64">
        <v>24</v>
      </c>
      <c r="U64">
        <v>60510323</v>
      </c>
      <c r="V64" t="s">
        <v>49</v>
      </c>
      <c r="W64" s="1">
        <v>44142</v>
      </c>
      <c r="X64" s="1">
        <v>44148</v>
      </c>
      <c r="Y64" s="1">
        <v>46053</v>
      </c>
    </row>
    <row r="65" spans="1:25" x14ac:dyDescent="0.25">
      <c r="A65" t="s">
        <v>258</v>
      </c>
      <c r="B65" t="s">
        <v>259</v>
      </c>
      <c r="C65" t="s">
        <v>38</v>
      </c>
      <c r="D65" t="s">
        <v>61</v>
      </c>
      <c r="E65" t="s">
        <v>73</v>
      </c>
      <c r="F65" t="s">
        <v>54</v>
      </c>
      <c r="G65">
        <v>2431546</v>
      </c>
      <c r="H65">
        <v>1547437</v>
      </c>
      <c r="I65">
        <v>884109</v>
      </c>
      <c r="J65">
        <v>0.64</v>
      </c>
      <c r="K65">
        <v>9.8000000000000007</v>
      </c>
      <c r="L65">
        <v>7</v>
      </c>
      <c r="M65" t="s">
        <v>31</v>
      </c>
      <c r="N65">
        <v>0</v>
      </c>
      <c r="O65" t="s">
        <v>32</v>
      </c>
      <c r="P65">
        <v>1</v>
      </c>
      <c r="Q65">
        <v>3</v>
      </c>
      <c r="R65" t="s">
        <v>91</v>
      </c>
      <c r="S65" t="s">
        <v>64</v>
      </c>
      <c r="T65">
        <v>9</v>
      </c>
      <c r="U65">
        <v>22584210</v>
      </c>
      <c r="V65" t="s">
        <v>65</v>
      </c>
      <c r="W65" s="1">
        <v>44359</v>
      </c>
      <c r="X65" s="1">
        <v>44367</v>
      </c>
      <c r="Y65" s="1">
        <v>46053</v>
      </c>
    </row>
    <row r="66" spans="1:25" x14ac:dyDescent="0.25">
      <c r="A66" t="s">
        <v>186</v>
      </c>
      <c r="B66" t="s">
        <v>187</v>
      </c>
      <c r="C66" t="s">
        <v>44</v>
      </c>
      <c r="D66" t="s">
        <v>28</v>
      </c>
      <c r="E66" t="s">
        <v>45</v>
      </c>
      <c r="F66" t="s">
        <v>30</v>
      </c>
      <c r="G66">
        <v>3043206</v>
      </c>
      <c r="H66">
        <v>2832123</v>
      </c>
      <c r="I66">
        <v>211083</v>
      </c>
      <c r="J66">
        <v>0.93</v>
      </c>
      <c r="K66">
        <v>12.15</v>
      </c>
      <c r="L66">
        <v>6</v>
      </c>
      <c r="M66" t="s">
        <v>31</v>
      </c>
      <c r="N66">
        <v>0</v>
      </c>
      <c r="O66" t="s">
        <v>32</v>
      </c>
      <c r="P66">
        <v>1</v>
      </c>
      <c r="Q66">
        <v>1</v>
      </c>
      <c r="R66" t="s">
        <v>91</v>
      </c>
      <c r="S66" t="s">
        <v>64</v>
      </c>
      <c r="T66">
        <v>6</v>
      </c>
      <c r="U66">
        <v>428806847</v>
      </c>
      <c r="V66" t="s">
        <v>58</v>
      </c>
      <c r="W66" s="1">
        <v>45322</v>
      </c>
      <c r="X66" s="1">
        <v>45331</v>
      </c>
      <c r="Y66" s="1">
        <v>46053</v>
      </c>
    </row>
    <row r="67" spans="1:25" x14ac:dyDescent="0.25">
      <c r="A67" t="s">
        <v>257</v>
      </c>
      <c r="B67" t="s">
        <v>228</v>
      </c>
      <c r="C67" t="s">
        <v>27</v>
      </c>
      <c r="D67" t="s">
        <v>39</v>
      </c>
      <c r="E67" t="s">
        <v>102</v>
      </c>
      <c r="F67" t="s">
        <v>46</v>
      </c>
      <c r="G67">
        <v>11258109</v>
      </c>
      <c r="H67">
        <v>7377767</v>
      </c>
      <c r="I67">
        <v>3880342</v>
      </c>
      <c r="J67">
        <v>0.66</v>
      </c>
      <c r="K67">
        <v>10.17</v>
      </c>
      <c r="L67">
        <v>8</v>
      </c>
      <c r="M67" t="s">
        <v>31</v>
      </c>
      <c r="N67">
        <v>0</v>
      </c>
      <c r="O67" t="s">
        <v>32</v>
      </c>
      <c r="P67">
        <v>1</v>
      </c>
      <c r="Q67">
        <v>0</v>
      </c>
      <c r="R67" t="s">
        <v>91</v>
      </c>
      <c r="S67" t="s">
        <v>64</v>
      </c>
      <c r="T67">
        <v>9</v>
      </c>
      <c r="U67">
        <v>120790152</v>
      </c>
      <c r="V67" t="s">
        <v>35</v>
      </c>
      <c r="W67" s="1">
        <v>43835</v>
      </c>
      <c r="X67" s="1">
        <v>43838</v>
      </c>
      <c r="Y67" s="1">
        <v>46053</v>
      </c>
    </row>
    <row r="68" spans="1:25" x14ac:dyDescent="0.25">
      <c r="A68" t="s">
        <v>253</v>
      </c>
      <c r="B68" t="s">
        <v>254</v>
      </c>
      <c r="C68" t="s">
        <v>27</v>
      </c>
      <c r="D68" t="s">
        <v>61</v>
      </c>
      <c r="E68" t="s">
        <v>102</v>
      </c>
      <c r="F68" t="s">
        <v>68</v>
      </c>
      <c r="G68">
        <v>12449394</v>
      </c>
      <c r="H68">
        <v>10707855</v>
      </c>
      <c r="I68">
        <v>1741539</v>
      </c>
      <c r="J68">
        <v>0.86</v>
      </c>
      <c r="K68">
        <v>12.62</v>
      </c>
      <c r="L68">
        <v>17</v>
      </c>
      <c r="M68" t="s">
        <v>31</v>
      </c>
      <c r="N68">
        <v>0</v>
      </c>
      <c r="O68" t="s">
        <v>32</v>
      </c>
      <c r="P68">
        <v>0</v>
      </c>
      <c r="Q68">
        <v>1</v>
      </c>
      <c r="R68" t="s">
        <v>91</v>
      </c>
      <c r="S68" t="s">
        <v>48</v>
      </c>
      <c r="T68">
        <v>2</v>
      </c>
      <c r="U68">
        <v>16069811</v>
      </c>
      <c r="V68" t="s">
        <v>35</v>
      </c>
      <c r="W68" s="1">
        <v>45142</v>
      </c>
      <c r="X68" s="1">
        <v>45149</v>
      </c>
      <c r="Y68" s="1">
        <v>46053</v>
      </c>
    </row>
    <row r="69" spans="1:25" x14ac:dyDescent="0.25">
      <c r="A69" t="s">
        <v>252</v>
      </c>
      <c r="B69" t="s">
        <v>93</v>
      </c>
      <c r="C69" t="s">
        <v>27</v>
      </c>
      <c r="D69" t="s">
        <v>39</v>
      </c>
      <c r="E69" t="s">
        <v>73</v>
      </c>
      <c r="F69" t="s">
        <v>54</v>
      </c>
      <c r="G69">
        <v>11078607</v>
      </c>
      <c r="H69">
        <v>7996975</v>
      </c>
      <c r="I69">
        <v>3081632</v>
      </c>
      <c r="J69">
        <v>0.72</v>
      </c>
      <c r="K69">
        <v>13.53</v>
      </c>
      <c r="L69">
        <v>0</v>
      </c>
      <c r="M69" t="s">
        <v>31</v>
      </c>
      <c r="N69">
        <v>0</v>
      </c>
      <c r="O69" t="s">
        <v>32</v>
      </c>
      <c r="P69">
        <v>0</v>
      </c>
      <c r="Q69">
        <v>2</v>
      </c>
      <c r="R69" t="s">
        <v>91</v>
      </c>
      <c r="S69" t="s">
        <v>34</v>
      </c>
      <c r="T69">
        <v>21</v>
      </c>
      <c r="U69">
        <v>497291461</v>
      </c>
      <c r="V69" t="s">
        <v>49</v>
      </c>
      <c r="W69" s="1">
        <v>44940</v>
      </c>
      <c r="X69" s="1">
        <v>44948</v>
      </c>
      <c r="Y69" s="1">
        <v>46053</v>
      </c>
    </row>
    <row r="70" spans="1:25" x14ac:dyDescent="0.25">
      <c r="A70" t="s">
        <v>236</v>
      </c>
      <c r="B70" t="s">
        <v>112</v>
      </c>
      <c r="C70" t="s">
        <v>78</v>
      </c>
      <c r="D70" t="s">
        <v>28</v>
      </c>
      <c r="E70" t="s">
        <v>82</v>
      </c>
      <c r="F70" t="s">
        <v>54</v>
      </c>
      <c r="G70">
        <v>2888986</v>
      </c>
      <c r="H70">
        <v>2362449</v>
      </c>
      <c r="I70">
        <v>526537</v>
      </c>
      <c r="J70">
        <v>0.82</v>
      </c>
      <c r="K70">
        <v>9.36</v>
      </c>
      <c r="L70">
        <v>28</v>
      </c>
      <c r="M70" t="s">
        <v>31</v>
      </c>
      <c r="N70">
        <v>0</v>
      </c>
      <c r="O70" t="s">
        <v>32</v>
      </c>
      <c r="P70">
        <v>0</v>
      </c>
      <c r="Q70">
        <v>3</v>
      </c>
      <c r="R70" t="s">
        <v>91</v>
      </c>
      <c r="S70" t="s">
        <v>57</v>
      </c>
      <c r="T70">
        <v>19</v>
      </c>
      <c r="U70">
        <v>288157830</v>
      </c>
      <c r="V70" t="s">
        <v>58</v>
      </c>
      <c r="W70" s="1">
        <v>44853</v>
      </c>
      <c r="X70" s="1">
        <v>44854</v>
      </c>
      <c r="Y70" s="1">
        <v>46053</v>
      </c>
    </row>
    <row r="71" spans="1:25" x14ac:dyDescent="0.25">
      <c r="A71" t="s">
        <v>232</v>
      </c>
      <c r="B71" t="s">
        <v>233</v>
      </c>
      <c r="C71" t="s">
        <v>38</v>
      </c>
      <c r="D71" t="s">
        <v>61</v>
      </c>
      <c r="E71" t="s">
        <v>82</v>
      </c>
      <c r="F71" t="s">
        <v>68</v>
      </c>
      <c r="G71">
        <v>13572585</v>
      </c>
      <c r="H71">
        <v>11708652</v>
      </c>
      <c r="I71">
        <v>1863933</v>
      </c>
      <c r="J71">
        <v>0.86</v>
      </c>
      <c r="K71">
        <v>12.32</v>
      </c>
      <c r="L71">
        <v>13</v>
      </c>
      <c r="M71" t="s">
        <v>31</v>
      </c>
      <c r="N71">
        <v>0</v>
      </c>
      <c r="O71" t="s">
        <v>32</v>
      </c>
      <c r="P71">
        <v>0</v>
      </c>
      <c r="Q71">
        <v>4</v>
      </c>
      <c r="R71" t="s">
        <v>91</v>
      </c>
      <c r="S71" t="s">
        <v>57</v>
      </c>
      <c r="T71">
        <v>18</v>
      </c>
      <c r="U71">
        <v>395493068</v>
      </c>
      <c r="V71" t="s">
        <v>35</v>
      </c>
      <c r="W71" s="1">
        <v>44556</v>
      </c>
      <c r="X71" s="1">
        <v>44565</v>
      </c>
      <c r="Y71" s="1">
        <v>46053</v>
      </c>
    </row>
    <row r="72" spans="1:25" x14ac:dyDescent="0.25">
      <c r="A72" t="s">
        <v>226</v>
      </c>
      <c r="B72" t="s">
        <v>217</v>
      </c>
      <c r="C72" t="s">
        <v>27</v>
      </c>
      <c r="D72" t="s">
        <v>39</v>
      </c>
      <c r="E72" t="s">
        <v>82</v>
      </c>
      <c r="F72" t="s">
        <v>68</v>
      </c>
      <c r="G72">
        <v>8249261</v>
      </c>
      <c r="H72">
        <v>7802017</v>
      </c>
      <c r="I72">
        <v>447244</v>
      </c>
      <c r="J72">
        <v>0.95</v>
      </c>
      <c r="K72">
        <v>10.87</v>
      </c>
      <c r="L72">
        <v>26</v>
      </c>
      <c r="M72" t="s">
        <v>31</v>
      </c>
      <c r="N72">
        <v>0</v>
      </c>
      <c r="O72" t="s">
        <v>32</v>
      </c>
      <c r="P72">
        <v>1</v>
      </c>
      <c r="Q72">
        <v>4</v>
      </c>
      <c r="R72" t="s">
        <v>91</v>
      </c>
      <c r="S72" t="s">
        <v>64</v>
      </c>
      <c r="T72">
        <v>16</v>
      </c>
      <c r="U72">
        <v>14036504</v>
      </c>
      <c r="V72" t="s">
        <v>49</v>
      </c>
      <c r="W72" s="1">
        <v>45090</v>
      </c>
      <c r="X72" s="1">
        <v>45095</v>
      </c>
      <c r="Y72" s="1">
        <v>46053</v>
      </c>
    </row>
    <row r="73" spans="1:25" x14ac:dyDescent="0.25">
      <c r="A73" t="s">
        <v>198</v>
      </c>
      <c r="B73" t="s">
        <v>199</v>
      </c>
      <c r="C73" t="s">
        <v>44</v>
      </c>
      <c r="D73" t="s">
        <v>61</v>
      </c>
      <c r="E73" t="s">
        <v>29</v>
      </c>
      <c r="F73" t="s">
        <v>54</v>
      </c>
      <c r="G73">
        <v>8545916</v>
      </c>
      <c r="H73">
        <v>6932120</v>
      </c>
      <c r="I73">
        <v>1613796</v>
      </c>
      <c r="J73">
        <v>0.81</v>
      </c>
      <c r="K73">
        <v>10.63</v>
      </c>
      <c r="L73">
        <v>3</v>
      </c>
      <c r="M73" t="s">
        <v>31</v>
      </c>
      <c r="N73">
        <v>0</v>
      </c>
      <c r="O73" t="s">
        <v>32</v>
      </c>
      <c r="P73">
        <v>0</v>
      </c>
      <c r="Q73">
        <v>0</v>
      </c>
      <c r="R73" t="s">
        <v>91</v>
      </c>
      <c r="S73" t="s">
        <v>48</v>
      </c>
      <c r="T73">
        <v>24</v>
      </c>
      <c r="U73">
        <v>469485477</v>
      </c>
      <c r="V73" t="s">
        <v>49</v>
      </c>
      <c r="W73" s="1">
        <v>44361</v>
      </c>
      <c r="X73" s="1">
        <v>44366</v>
      </c>
      <c r="Y73" s="1">
        <v>46053</v>
      </c>
    </row>
    <row r="74" spans="1:25" x14ac:dyDescent="0.25">
      <c r="A74" t="s">
        <v>206</v>
      </c>
      <c r="B74" t="s">
        <v>207</v>
      </c>
      <c r="C74" t="s">
        <v>38</v>
      </c>
      <c r="D74" t="s">
        <v>28</v>
      </c>
      <c r="E74" t="s">
        <v>29</v>
      </c>
      <c r="F74" t="s">
        <v>30</v>
      </c>
      <c r="G74">
        <v>13085553</v>
      </c>
      <c r="H74">
        <v>10499966</v>
      </c>
      <c r="I74">
        <v>2585587</v>
      </c>
      <c r="J74">
        <v>0.8</v>
      </c>
      <c r="K74">
        <v>13.7</v>
      </c>
      <c r="L74">
        <v>37</v>
      </c>
      <c r="M74" t="s">
        <v>55</v>
      </c>
      <c r="N74">
        <v>0</v>
      </c>
      <c r="O74" t="s">
        <v>56</v>
      </c>
      <c r="P74">
        <v>0</v>
      </c>
      <c r="Q74">
        <v>3</v>
      </c>
      <c r="R74" t="s">
        <v>91</v>
      </c>
      <c r="S74" t="s">
        <v>64</v>
      </c>
      <c r="T74">
        <v>4</v>
      </c>
      <c r="U74">
        <v>199924117</v>
      </c>
      <c r="V74" t="s">
        <v>49</v>
      </c>
      <c r="W74" s="1">
        <v>43954</v>
      </c>
      <c r="X74" s="1">
        <v>43964</v>
      </c>
      <c r="Y74" s="1">
        <v>46053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showGridLines="0" workbookViewId="0">
      <selection activeCell="A137" sqref="A137"/>
    </sheetView>
  </sheetViews>
  <sheetFormatPr defaultRowHeight="15" x14ac:dyDescent="0.25"/>
  <cols>
    <col min="1" max="2" width="11.85546875" customWidth="1"/>
    <col min="3" max="3" width="16.140625" bestFit="1" customWidth="1"/>
    <col min="4" max="4" width="14" bestFit="1" customWidth="1"/>
    <col min="5" max="5" width="14" customWidth="1"/>
    <col min="10" max="10" width="17.28515625" customWidth="1"/>
    <col min="11" max="11" width="13.7109375" customWidth="1"/>
  </cols>
  <sheetData>
    <row r="1" spans="1:3" x14ac:dyDescent="0.25">
      <c r="A1" s="18" t="s">
        <v>537</v>
      </c>
      <c r="B1" s="19" t="s">
        <v>538</v>
      </c>
    </row>
    <row r="2" spans="1:3" x14ac:dyDescent="0.25">
      <c r="A2" s="16" t="s">
        <v>539</v>
      </c>
      <c r="B2" s="17">
        <f>KPI!B1</f>
        <v>2062659900</v>
      </c>
    </row>
    <row r="3" spans="1:3" x14ac:dyDescent="0.25">
      <c r="A3" s="16" t="s">
        <v>531</v>
      </c>
      <c r="B3" s="17">
        <f>KPI!B6</f>
        <v>300</v>
      </c>
    </row>
    <row r="4" spans="1:3" x14ac:dyDescent="0.25">
      <c r="A4" s="16" t="s">
        <v>540</v>
      </c>
      <c r="B4" s="22">
        <f>KPI!B2</f>
        <v>3.0279296165111855E-2</v>
      </c>
    </row>
    <row r="5" spans="1:3" x14ac:dyDescent="0.25">
      <c r="A5" s="20" t="s">
        <v>541</v>
      </c>
      <c r="B5" s="23">
        <f>KPI!B3</f>
        <v>6.635974015881145E-2</v>
      </c>
    </row>
    <row r="8" spans="1:3" x14ac:dyDescent="0.25">
      <c r="A8" s="33" t="s">
        <v>548</v>
      </c>
      <c r="B8" s="33"/>
    </row>
    <row r="10" spans="1:3" x14ac:dyDescent="0.25">
      <c r="A10" s="18" t="s">
        <v>2</v>
      </c>
      <c r="B10" s="24" t="s">
        <v>533</v>
      </c>
      <c r="C10" s="19" t="s">
        <v>536</v>
      </c>
    </row>
    <row r="11" spans="1:3" x14ac:dyDescent="0.25">
      <c r="A11" s="16" t="s">
        <v>44</v>
      </c>
      <c r="B11" s="15">
        <f>SUMIFS(Table1[Outstanding_Amount],Table1[Branch],A11)</f>
        <v>371162795</v>
      </c>
      <c r="C11" s="17">
        <f>SUMIFS(Table1[Outstanding_Amount],Table1[Branch],A11,Table1[NPA_Flag],1)/SUMIFS(Table1[Outstanding_Amount],Table1[Branch],A11)*100</f>
        <v>0</v>
      </c>
    </row>
    <row r="12" spans="1:3" x14ac:dyDescent="0.25">
      <c r="A12" s="16" t="s">
        <v>38</v>
      </c>
      <c r="B12" s="15">
        <f>SUMIFS(Table1[Outstanding_Amount],Table1[Branch],A12)</f>
        <v>535687904</v>
      </c>
      <c r="C12" s="17">
        <f>SUMIFS(Table1[Outstanding_Amount],Table1[Branch],A12,Table1[NPA_Flag],1)/SUMIFS(Table1[Outstanding_Amount],Table1[Branch],A12)*100</f>
        <v>8.7514882546237232</v>
      </c>
    </row>
    <row r="13" spans="1:3" x14ac:dyDescent="0.25">
      <c r="A13" s="16" t="s">
        <v>27</v>
      </c>
      <c r="B13" s="15">
        <f>SUMIFS(Table1[Outstanding_Amount],Table1[Branch],A13)</f>
        <v>569128135</v>
      </c>
      <c r="C13" s="17">
        <f>SUMIFS(Table1[Outstanding_Amount],Table1[Branch],A13,Table1[NPA_Flag],1)/SUMIFS(Table1[Outstanding_Amount],Table1[Branch],A13)*100</f>
        <v>2.7366817843226112</v>
      </c>
    </row>
    <row r="14" spans="1:3" x14ac:dyDescent="0.25">
      <c r="A14" s="20" t="s">
        <v>78</v>
      </c>
      <c r="B14" s="25">
        <f>SUMIFS(Table1[Outstanding_Amount],Table1[Branch],A14)</f>
        <v>586681066</v>
      </c>
      <c r="C14" s="21">
        <f>SUMIFS(Table1[Outstanding_Amount],Table1[Branch],A14,Table1[NPA_Flag],1)/SUMIFS(Table1[Outstanding_Amount],Table1[Branch],A14)*100</f>
        <v>0</v>
      </c>
    </row>
    <row r="26" spans="1:2" x14ac:dyDescent="0.25">
      <c r="A26" s="33" t="s">
        <v>547</v>
      </c>
      <c r="B26" s="33"/>
    </row>
    <row r="28" spans="1:2" x14ac:dyDescent="0.25">
      <c r="A28" s="18" t="s">
        <v>2</v>
      </c>
      <c r="B28" s="19" t="s">
        <v>536</v>
      </c>
    </row>
    <row r="29" spans="1:2" x14ac:dyDescent="0.25">
      <c r="A29" s="16" t="s">
        <v>38</v>
      </c>
      <c r="B29" s="17">
        <f>SUMIFS(Table1[Outstanding_Amount],Table1[Branch],A29,Table1[NPA_Flag],1)/SUMIFS(Table1[Outstanding_Amount],Table1[Branch],A29)</f>
        <v>8.7514882546237224E-2</v>
      </c>
    </row>
    <row r="30" spans="1:2" x14ac:dyDescent="0.25">
      <c r="A30" s="16" t="s">
        <v>27</v>
      </c>
      <c r="B30" s="17">
        <f>SUMIFS(Table1[Outstanding_Amount],Table1[Branch],A30,Table1[NPA_Flag],1)/SUMIFS(Table1[Outstanding_Amount],Table1[Branch],A30)</f>
        <v>2.7366817843226112E-2</v>
      </c>
    </row>
    <row r="31" spans="1:2" x14ac:dyDescent="0.25">
      <c r="A31" s="16" t="s">
        <v>44</v>
      </c>
      <c r="B31" s="17">
        <f>SUMIFS(Table1[Outstanding_Amount],Table1[Branch],A31,Table1[NPA_Flag],1)/SUMIFS(Table1[Outstanding_Amount],Table1[Branch],A31)</f>
        <v>0</v>
      </c>
    </row>
    <row r="32" spans="1:2" x14ac:dyDescent="0.25">
      <c r="A32" s="20" t="s">
        <v>78</v>
      </c>
      <c r="B32" s="21">
        <f>SUMIFS(Table1[Outstanding_Amount],Table1[Branch],A32,Table1[NPA_Flag],1)/SUMIFS(Table1[Outstanding_Amount],Table1[Branch],A32)</f>
        <v>0</v>
      </c>
    </row>
    <row r="38" spans="1:12" x14ac:dyDescent="0.25">
      <c r="G38" s="29"/>
      <c r="H38" s="29"/>
      <c r="I38" s="29"/>
      <c r="J38" s="29"/>
      <c r="K38" s="29"/>
      <c r="L38" s="29"/>
    </row>
    <row r="39" spans="1:12" x14ac:dyDescent="0.25">
      <c r="G39" s="29"/>
      <c r="H39" s="29"/>
      <c r="I39" s="29"/>
      <c r="J39" s="29"/>
      <c r="K39" s="29"/>
      <c r="L39" s="29"/>
    </row>
    <row r="40" spans="1:12" x14ac:dyDescent="0.25">
      <c r="G40" s="29"/>
      <c r="H40" s="29"/>
      <c r="I40" s="29"/>
      <c r="J40" s="29"/>
      <c r="K40" s="29"/>
      <c r="L40" s="29"/>
    </row>
    <row r="41" spans="1:12" x14ac:dyDescent="0.25">
      <c r="G41" s="29"/>
      <c r="H41" s="29"/>
      <c r="I41" s="29"/>
      <c r="J41" s="29"/>
      <c r="K41" s="29"/>
      <c r="L41" s="29"/>
    </row>
    <row r="42" spans="1:12" x14ac:dyDescent="0.25">
      <c r="G42" s="29"/>
      <c r="H42" s="29"/>
      <c r="I42" s="29"/>
      <c r="J42" s="29"/>
      <c r="K42" s="29"/>
      <c r="L42" s="29"/>
    </row>
    <row r="43" spans="1:12" x14ac:dyDescent="0.25">
      <c r="G43" s="29"/>
      <c r="H43" s="29"/>
      <c r="I43" s="29"/>
      <c r="J43" s="29"/>
      <c r="K43" s="29"/>
      <c r="L43" s="29"/>
    </row>
    <row r="45" spans="1:12" x14ac:dyDescent="0.25">
      <c r="A45" s="33" t="s">
        <v>546</v>
      </c>
      <c r="B45" s="33"/>
    </row>
    <row r="47" spans="1:12" x14ac:dyDescent="0.25">
      <c r="A47" s="27" t="s">
        <v>17</v>
      </c>
      <c r="B47" s="27" t="s">
        <v>542</v>
      </c>
    </row>
    <row r="48" spans="1:12" x14ac:dyDescent="0.25">
      <c r="A48" s="27" t="s">
        <v>91</v>
      </c>
      <c r="B48" s="28">
        <v>0.22550208834718705</v>
      </c>
    </row>
    <row r="49" spans="1:2" x14ac:dyDescent="0.25">
      <c r="A49" s="27" t="s">
        <v>47</v>
      </c>
      <c r="B49" s="28">
        <v>0.2374558200312131</v>
      </c>
    </row>
    <row r="50" spans="1:2" x14ac:dyDescent="0.25">
      <c r="A50" s="27" t="s">
        <v>33</v>
      </c>
      <c r="B50" s="28">
        <v>0.26358940317790636</v>
      </c>
    </row>
    <row r="51" spans="1:2" x14ac:dyDescent="0.25">
      <c r="A51" s="27" t="s">
        <v>41</v>
      </c>
      <c r="B51" s="28">
        <v>0.27345268844369353</v>
      </c>
    </row>
    <row r="52" spans="1:2" x14ac:dyDescent="0.25">
      <c r="A52" s="27" t="s">
        <v>528</v>
      </c>
      <c r="B52" s="28">
        <v>1</v>
      </c>
    </row>
    <row r="60" spans="1:2" x14ac:dyDescent="0.25">
      <c r="A60" s="33" t="s">
        <v>545</v>
      </c>
      <c r="B60" s="33"/>
    </row>
    <row r="62" spans="1:2" x14ac:dyDescent="0.25">
      <c r="A62" s="15" t="s">
        <v>543</v>
      </c>
      <c r="B62" s="15" t="s">
        <v>544</v>
      </c>
    </row>
    <row r="63" spans="1:2" x14ac:dyDescent="0.25">
      <c r="A63" s="30" t="s">
        <v>70</v>
      </c>
      <c r="B63" s="31">
        <v>6.635974015881145E-2</v>
      </c>
    </row>
    <row r="64" spans="1:2" x14ac:dyDescent="0.25">
      <c r="A64" s="30" t="s">
        <v>32</v>
      </c>
      <c r="B64" s="31">
        <v>0.85293637016941082</v>
      </c>
    </row>
    <row r="65" spans="1:13" x14ac:dyDescent="0.25">
      <c r="A65" s="30" t="s">
        <v>56</v>
      </c>
      <c r="B65" s="31">
        <v>8.070388967177769E-2</v>
      </c>
    </row>
    <row r="66" spans="1:13" x14ac:dyDescent="0.25">
      <c r="A66" s="30" t="s">
        <v>528</v>
      </c>
      <c r="B66" s="31">
        <v>1</v>
      </c>
    </row>
    <row r="77" spans="1:13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spans="1:13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spans="1:13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spans="1:13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spans="1:13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spans="1:13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spans="1:13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spans="1:13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spans="1:13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spans="1:13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  <row r="103" spans="1:11" ht="26.25" x14ac:dyDescent="0.4">
      <c r="C103" s="35" t="s">
        <v>549</v>
      </c>
      <c r="D103" s="35"/>
      <c r="E103" s="35"/>
    </row>
    <row r="105" spans="1:11" x14ac:dyDescent="0.25">
      <c r="A105" s="18" t="s">
        <v>550</v>
      </c>
      <c r="B105" s="24" t="s">
        <v>552</v>
      </c>
      <c r="C105" s="24" t="s">
        <v>2</v>
      </c>
      <c r="D105" s="24" t="s">
        <v>17</v>
      </c>
      <c r="E105" s="19" t="s">
        <v>551</v>
      </c>
    </row>
    <row r="106" spans="1:11" x14ac:dyDescent="0.25">
      <c r="A106" s="16">
        <v>1</v>
      </c>
      <c r="B106" s="15" t="str">
        <f>INDEX(Table1[Customer_ID], MATCH(E106, Table1[Outstanding_Amount], 0))</f>
        <v>CUST0005</v>
      </c>
      <c r="C106" s="15" t="str">
        <f>INDEX(Table1[Branch], MATCH(E106, Table1[Outstanding_Amount], 0))</f>
        <v>Mumbai_Central</v>
      </c>
      <c r="D106" s="15" t="str">
        <f>INDEX(Table1[Sector], MATCH(E106, Table1[Outstanding_Amount], 0))</f>
        <v>Services</v>
      </c>
      <c r="E106" s="17">
        <f>LARGE(Table1[Outstanding_Amount],1)</f>
        <v>13622740</v>
      </c>
    </row>
    <row r="107" spans="1:11" x14ac:dyDescent="0.25">
      <c r="A107" s="16">
        <v>2</v>
      </c>
      <c r="B107" s="15" t="str">
        <f>INDEX(Table1[Customer_ID], MATCH(E107, Table1[Outstanding_Amount], 0))</f>
        <v>CUST0182</v>
      </c>
      <c r="C107" s="15" t="str">
        <f>INDEX(Table1[Branch], MATCH(E107, Table1[Outstanding_Amount], 0))</f>
        <v>Kolkata_East</v>
      </c>
      <c r="D107" s="15" t="str">
        <f>INDEX(Table1[Sector], MATCH(E107, Table1[Outstanding_Amount], 0))</f>
        <v>Manufacturing</v>
      </c>
      <c r="E107" s="17">
        <f>LARGE(Table1[Outstanding_Amount],2)</f>
        <v>13458128</v>
      </c>
      <c r="J107" s="37" t="s">
        <v>539</v>
      </c>
      <c r="K107" s="15">
        <f>SUM(Table1[Outstanding_Amount])</f>
        <v>2062659900</v>
      </c>
    </row>
    <row r="108" spans="1:11" x14ac:dyDescent="0.25">
      <c r="A108" s="16">
        <v>3</v>
      </c>
      <c r="B108" s="15" t="str">
        <f>INDEX(Table1[Customer_ID], MATCH(E108, Table1[Outstanding_Amount], 0))</f>
        <v>CUST0051</v>
      </c>
      <c r="C108" s="15" t="str">
        <f>INDEX(Table1[Branch], MATCH(E108, Table1[Outstanding_Amount], 0))</f>
        <v>Mumbai_Central</v>
      </c>
      <c r="D108" s="15" t="str">
        <f>INDEX(Table1[Sector], MATCH(E108, Table1[Outstanding_Amount], 0))</f>
        <v>Services</v>
      </c>
      <c r="E108" s="17">
        <f>LARGE(Table1[Outstanding_Amount],3)</f>
        <v>12775969</v>
      </c>
    </row>
    <row r="109" spans="1:11" x14ac:dyDescent="0.25">
      <c r="A109" s="16">
        <v>4</v>
      </c>
      <c r="B109" s="15" t="str">
        <f>INDEX(Table1[Customer_ID], MATCH(E109, Table1[Outstanding_Amount], 0))</f>
        <v>CUST0175</v>
      </c>
      <c r="C109" s="15" t="str">
        <f>INDEX(Table1[Branch], MATCH(E109, Table1[Outstanding_Amount], 0))</f>
        <v>Kolkata_East</v>
      </c>
      <c r="D109" s="15" t="str">
        <f>INDEX(Table1[Sector], MATCH(E109, Table1[Outstanding_Amount], 0))</f>
        <v>Services</v>
      </c>
      <c r="E109" s="17">
        <f>LARGE(Table1[Outstanding_Amount],4)</f>
        <v>12758386</v>
      </c>
    </row>
    <row r="110" spans="1:11" x14ac:dyDescent="0.25">
      <c r="A110" s="16">
        <v>5</v>
      </c>
      <c r="B110" s="15" t="str">
        <f>INDEX(Table1[Customer_ID], MATCH(E110, Table1[Outstanding_Amount], 0))</f>
        <v>CUST0086</v>
      </c>
      <c r="C110" s="15" t="str">
        <f>INDEX(Table1[Branch], MATCH(E110, Table1[Outstanding_Amount], 0))</f>
        <v>Kolkata_East</v>
      </c>
      <c r="D110" s="15" t="str">
        <f>INDEX(Table1[Sector], MATCH(E110, Table1[Outstanding_Amount], 0))</f>
        <v>Services</v>
      </c>
      <c r="E110" s="17">
        <f>LARGE(Table1[Outstanding_Amount],5)</f>
        <v>12710230</v>
      </c>
    </row>
    <row r="111" spans="1:11" x14ac:dyDescent="0.25">
      <c r="A111" s="16">
        <v>6</v>
      </c>
      <c r="B111" s="15" t="str">
        <f>INDEX(Table1[Customer_ID], MATCH(E111, Table1[Outstanding_Amount], 0))</f>
        <v>CUST0048</v>
      </c>
      <c r="C111" s="15" t="str">
        <f>INDEX(Table1[Branch], MATCH(E111, Table1[Outstanding_Amount], 0))</f>
        <v>Delhi_North</v>
      </c>
      <c r="D111" s="15" t="str">
        <f>INDEX(Table1[Sector], MATCH(E111, Table1[Outstanding_Amount], 0))</f>
        <v>Trading</v>
      </c>
      <c r="E111" s="17">
        <f>LARGE(Table1[Outstanding_Amount],6)</f>
        <v>12656250</v>
      </c>
    </row>
    <row r="112" spans="1:11" x14ac:dyDescent="0.25">
      <c r="A112" s="16">
        <v>7</v>
      </c>
      <c r="B112" s="15" t="str">
        <f>INDEX(Table1[Customer_ID], MATCH(E112, Table1[Outstanding_Amount], 0))</f>
        <v>CUST0192</v>
      </c>
      <c r="C112" s="15" t="str">
        <f>INDEX(Table1[Branch], MATCH(E112, Table1[Outstanding_Amount], 0))</f>
        <v>Bangalore_South</v>
      </c>
      <c r="D112" s="15" t="str">
        <f>INDEX(Table1[Sector], MATCH(E112, Table1[Outstanding_Amount], 0))</f>
        <v>Manufacturing</v>
      </c>
      <c r="E112" s="17">
        <f>LARGE(Table1[Outstanding_Amount],7)</f>
        <v>12511334</v>
      </c>
      <c r="I112" s="37" t="s">
        <v>553</v>
      </c>
      <c r="J112" s="37"/>
      <c r="K112" s="32">
        <f>SUM(Table9[Outstanding])/K107</f>
        <v>6.1753008821279744E-2</v>
      </c>
    </row>
    <row r="113" spans="1:11" x14ac:dyDescent="0.25">
      <c r="A113" s="16">
        <v>8</v>
      </c>
      <c r="B113" s="15" t="str">
        <f>INDEX(Table1[Customer_ID], MATCH(E113, Table1[Outstanding_Amount], 0))</f>
        <v>CUST0138</v>
      </c>
      <c r="C113" s="15" t="str">
        <f>INDEX(Table1[Branch], MATCH(E113, Table1[Outstanding_Amount], 0))</f>
        <v>Kolkata_East</v>
      </c>
      <c r="D113" s="15" t="str">
        <f>INDEX(Table1[Sector], MATCH(E113, Table1[Outstanding_Amount], 0))</f>
        <v>Manufacturing</v>
      </c>
      <c r="E113" s="17">
        <f>LARGE(Table1[Outstanding_Amount],8)</f>
        <v>12331650</v>
      </c>
      <c r="I113" s="37" t="s">
        <v>554</v>
      </c>
      <c r="J113" s="37"/>
      <c r="K113" s="32">
        <f>SUM(E106:E110)/K107</f>
        <v>3.1670491582252602E-2</v>
      </c>
    </row>
    <row r="114" spans="1:11" x14ac:dyDescent="0.25">
      <c r="A114" s="16">
        <v>9</v>
      </c>
      <c r="B114" s="15" t="str">
        <f>INDEX(Table1[Customer_ID], MATCH(E114, Table1[Outstanding_Amount], 0))</f>
        <v>CUST0130</v>
      </c>
      <c r="C114" s="15" t="str">
        <f>INDEX(Table1[Branch], MATCH(E114, Table1[Outstanding_Amount], 0))</f>
        <v>Bangalore_South</v>
      </c>
      <c r="D114" s="15" t="str">
        <f>INDEX(Table1[Sector], MATCH(E114, Table1[Outstanding_Amount], 0))</f>
        <v>Services</v>
      </c>
      <c r="E114" s="17">
        <f>LARGE(Table1[Outstanding_Amount],9)</f>
        <v>12283540</v>
      </c>
    </row>
    <row r="115" spans="1:11" x14ac:dyDescent="0.25">
      <c r="A115" s="20">
        <v>10</v>
      </c>
      <c r="B115" s="25" t="str">
        <f>INDEX(Table1[Customer_ID], MATCH(E115, Table1[Outstanding_Amount], 0))</f>
        <v>CUST0150</v>
      </c>
      <c r="C115" s="25" t="str">
        <f>INDEX(Table1[Branch], MATCH(E115, Table1[Outstanding_Amount], 0))</f>
        <v>Mumbai_Central</v>
      </c>
      <c r="D115" s="25" t="str">
        <f>INDEX(Table1[Sector], MATCH(E115, Table1[Outstanding_Amount], 0))</f>
        <v>Services</v>
      </c>
      <c r="E115" s="21">
        <f>LARGE(Table1[Outstanding_Amount],10)</f>
        <v>12267228</v>
      </c>
    </row>
    <row r="121" spans="1:11" x14ac:dyDescent="0.25">
      <c r="A121" s="37" t="str">
        <f>B105</f>
        <v>Customer ID</v>
      </c>
      <c r="B121" s="37" t="str">
        <f>E105</f>
        <v>Outstanding</v>
      </c>
    </row>
    <row r="122" spans="1:11" x14ac:dyDescent="0.25">
      <c r="A122" s="15" t="str">
        <f>B106</f>
        <v>CUST0005</v>
      </c>
      <c r="B122" s="15">
        <f>E106</f>
        <v>13622740</v>
      </c>
    </row>
    <row r="123" spans="1:11" x14ac:dyDescent="0.25">
      <c r="A123" s="15" t="str">
        <f>B107</f>
        <v>CUST0182</v>
      </c>
      <c r="B123" s="15">
        <f>E107</f>
        <v>13458128</v>
      </c>
    </row>
    <row r="124" spans="1:11" x14ac:dyDescent="0.25">
      <c r="A124" s="15" t="str">
        <f>B108</f>
        <v>CUST0051</v>
      </c>
      <c r="B124" s="15">
        <f>E108</f>
        <v>12775969</v>
      </c>
    </row>
    <row r="125" spans="1:11" x14ac:dyDescent="0.25">
      <c r="A125" s="15" t="str">
        <f>B109</f>
        <v>CUST0175</v>
      </c>
      <c r="B125" s="15">
        <f>E109</f>
        <v>12758386</v>
      </c>
    </row>
    <row r="126" spans="1:11" x14ac:dyDescent="0.25">
      <c r="A126" s="15" t="str">
        <f>B110</f>
        <v>CUST0086</v>
      </c>
      <c r="B126" s="15">
        <f>E110</f>
        <v>12710230</v>
      </c>
    </row>
    <row r="127" spans="1:11" x14ac:dyDescent="0.25">
      <c r="A127" s="15" t="str">
        <f>B111</f>
        <v>CUST0048</v>
      </c>
      <c r="B127" s="15">
        <f>E111</f>
        <v>12656250</v>
      </c>
    </row>
    <row r="128" spans="1:11" x14ac:dyDescent="0.25">
      <c r="A128" s="15" t="str">
        <f>B112</f>
        <v>CUST0192</v>
      </c>
      <c r="B128" s="15">
        <f>E112</f>
        <v>12511334</v>
      </c>
    </row>
    <row r="129" spans="1:2" x14ac:dyDescent="0.25">
      <c r="A129" s="15" t="str">
        <f>B113</f>
        <v>CUST0138</v>
      </c>
      <c r="B129" s="15">
        <f>E113</f>
        <v>12331650</v>
      </c>
    </row>
    <row r="130" spans="1:2" x14ac:dyDescent="0.25">
      <c r="A130" s="15" t="str">
        <f>B114</f>
        <v>CUST0130</v>
      </c>
      <c r="B130" s="15">
        <f>E114</f>
        <v>12283540</v>
      </c>
    </row>
    <row r="131" spans="1:2" x14ac:dyDescent="0.25">
      <c r="A131" s="15" t="str">
        <f>B115</f>
        <v>CUST0150</v>
      </c>
      <c r="B131" s="15">
        <f>E115</f>
        <v>12267228</v>
      </c>
    </row>
    <row r="135" spans="1:2" x14ac:dyDescent="0.25">
      <c r="A135" s="34" t="s">
        <v>555</v>
      </c>
    </row>
    <row r="136" spans="1:2" x14ac:dyDescent="0.25">
      <c r="A136" s="34" t="s">
        <v>556</v>
      </c>
    </row>
    <row r="137" spans="1:2" x14ac:dyDescent="0.25">
      <c r="A137" s="34" t="s">
        <v>557</v>
      </c>
    </row>
  </sheetData>
  <autoFilter ref="A121:B121">
    <sortState ref="A122:B131">
      <sortCondition descending="1" ref="B121"/>
    </sortState>
  </autoFilter>
  <sortState ref="A122:B131">
    <sortCondition ref="B122:B131"/>
  </sortState>
  <mergeCells count="6">
    <mergeCell ref="G38:L43"/>
    <mergeCell ref="A77:M94"/>
    <mergeCell ref="A60:B60"/>
    <mergeCell ref="A45:B45"/>
    <mergeCell ref="A26:B26"/>
    <mergeCell ref="A8:B8"/>
  </mergeCells>
  <pageMargins left="0.7" right="0.7" top="0.75" bottom="0.75" header="0.3" footer="0.3"/>
  <pageSetup paperSize="9" orientation="portrait" r:id="rId3"/>
  <drawing r:id="rId4"/>
  <tableParts count="4"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topLeftCell="A71" workbookViewId="0">
      <selection activeCell="O11" sqref="O11"/>
    </sheetView>
  </sheetViews>
  <sheetFormatPr defaultRowHeight="15" x14ac:dyDescent="0.25"/>
  <cols>
    <col min="1" max="1" width="14" customWidth="1"/>
    <col min="2" max="2" width="18.42578125" customWidth="1"/>
  </cols>
  <sheetData>
    <row r="1" spans="1:3" x14ac:dyDescent="0.25">
      <c r="A1" s="18" t="s">
        <v>537</v>
      </c>
      <c r="B1" s="19" t="s">
        <v>538</v>
      </c>
    </row>
    <row r="2" spans="1:3" x14ac:dyDescent="0.25">
      <c r="A2" s="16" t="s">
        <v>539</v>
      </c>
      <c r="B2" s="17">
        <f>KPI!B1</f>
        <v>2062659900</v>
      </c>
    </row>
    <row r="3" spans="1:3" x14ac:dyDescent="0.25">
      <c r="A3" s="16" t="s">
        <v>531</v>
      </c>
      <c r="B3" s="17">
        <f>KPI!B6</f>
        <v>300</v>
      </c>
    </row>
    <row r="4" spans="1:3" x14ac:dyDescent="0.25">
      <c r="A4" s="16" t="s">
        <v>540</v>
      </c>
      <c r="B4" s="22">
        <f>KPI!B2</f>
        <v>3.0279296165111855E-2</v>
      </c>
    </row>
    <row r="5" spans="1:3" x14ac:dyDescent="0.25">
      <c r="A5" s="20" t="s">
        <v>541</v>
      </c>
      <c r="B5" s="23">
        <f>KPI!B3</f>
        <v>6.635974015881145E-2</v>
      </c>
    </row>
    <row r="8" spans="1:3" x14ac:dyDescent="0.25">
      <c r="A8" s="18" t="s">
        <v>2</v>
      </c>
      <c r="B8" s="24" t="s">
        <v>533</v>
      </c>
      <c r="C8" s="19" t="s">
        <v>536</v>
      </c>
    </row>
    <row r="9" spans="1:3" x14ac:dyDescent="0.25">
      <c r="A9" s="16" t="s">
        <v>44</v>
      </c>
      <c r="B9" s="15">
        <f>SUMIFS(Table1[Outstanding_Amount],Table1[Branch],A9)</f>
        <v>371162795</v>
      </c>
      <c r="C9" s="17">
        <f>SUMIFS(Table1[Outstanding_Amount],Table1[Branch],A9,Table1[NPA_Flag],1)/SUMIFS(Table1[Outstanding_Amount],Table1[Branch],A9)*100</f>
        <v>0</v>
      </c>
    </row>
    <row r="10" spans="1:3" x14ac:dyDescent="0.25">
      <c r="A10" s="16" t="s">
        <v>38</v>
      </c>
      <c r="B10" s="15">
        <f>SUMIFS(Table1[Outstanding_Amount],Table1[Branch],A10)</f>
        <v>535687904</v>
      </c>
      <c r="C10" s="17">
        <f>SUMIFS(Table1[Outstanding_Amount],Table1[Branch],A10,Table1[NPA_Flag],1)/SUMIFS(Table1[Outstanding_Amount],Table1[Branch],A10)*100</f>
        <v>8.7514882546237232</v>
      </c>
    </row>
    <row r="11" spans="1:3" x14ac:dyDescent="0.25">
      <c r="A11" s="16" t="s">
        <v>27</v>
      </c>
      <c r="B11" s="15">
        <f>SUMIFS(Table1[Outstanding_Amount],Table1[Branch],A11)</f>
        <v>569128135</v>
      </c>
      <c r="C11" s="17">
        <f>SUMIFS(Table1[Outstanding_Amount],Table1[Branch],A11,Table1[NPA_Flag],1)/SUMIFS(Table1[Outstanding_Amount],Table1[Branch],A11)*100</f>
        <v>2.7366817843226112</v>
      </c>
    </row>
    <row r="12" spans="1:3" x14ac:dyDescent="0.25">
      <c r="A12" s="20" t="s">
        <v>78</v>
      </c>
      <c r="B12" s="25">
        <f>SUMIFS(Table1[Outstanding_Amount],Table1[Branch],A12)</f>
        <v>586681066</v>
      </c>
      <c r="C12" s="21">
        <f>SUMIFS(Table1[Outstanding_Amount],Table1[Branch],A12,Table1[NPA_Flag],1)/SUMIFS(Table1[Outstanding_Amount],Table1[Branch],A12)*100</f>
        <v>0</v>
      </c>
    </row>
    <row r="28" spans="1:2" x14ac:dyDescent="0.25">
      <c r="A28" s="18" t="s">
        <v>2</v>
      </c>
      <c r="B28" s="19" t="s">
        <v>536</v>
      </c>
    </row>
    <row r="29" spans="1:2" x14ac:dyDescent="0.25">
      <c r="A29" s="16" t="s">
        <v>38</v>
      </c>
      <c r="B29" s="17">
        <f>SUMIFS(Table1[Outstanding_Amount],Table1[Branch],A29,Table1[NPA_Flag],1)/SUMIFS(Table1[Outstanding_Amount],Table1[Branch],A29)</f>
        <v>8.7514882546237224E-2</v>
      </c>
    </row>
    <row r="30" spans="1:2" x14ac:dyDescent="0.25">
      <c r="A30" s="16" t="s">
        <v>27</v>
      </c>
      <c r="B30" s="17">
        <f>SUMIFS(Table1[Outstanding_Amount],Table1[Branch],A30,Table1[NPA_Flag],1)/SUMIFS(Table1[Outstanding_Amount],Table1[Branch],A30)</f>
        <v>2.7366817843226112E-2</v>
      </c>
    </row>
    <row r="31" spans="1:2" x14ac:dyDescent="0.25">
      <c r="A31" s="16" t="s">
        <v>44</v>
      </c>
      <c r="B31" s="17">
        <f>SUMIFS(Table1[Outstanding_Amount],Table1[Branch],A31,Table1[NPA_Flag],1)/SUMIFS(Table1[Outstanding_Amount],Table1[Branch],A31)</f>
        <v>0</v>
      </c>
    </row>
    <row r="32" spans="1:2" x14ac:dyDescent="0.25">
      <c r="A32" s="20" t="s">
        <v>78</v>
      </c>
      <c r="B32" s="21">
        <f>SUMIFS(Table1[Outstanding_Amount],Table1[Branch],A32,Table1[NPA_Flag],1)/SUMIFS(Table1[Outstanding_Amount],Table1[Branch],A32)</f>
        <v>0</v>
      </c>
    </row>
    <row r="38" spans="1:12" x14ac:dyDescent="0.25">
      <c r="G38" s="29"/>
      <c r="H38" s="29"/>
      <c r="I38" s="29"/>
      <c r="J38" s="29"/>
      <c r="K38" s="29"/>
      <c r="L38" s="29"/>
    </row>
    <row r="39" spans="1:12" x14ac:dyDescent="0.25">
      <c r="G39" s="29"/>
      <c r="H39" s="29"/>
      <c r="I39" s="29"/>
      <c r="J39" s="29"/>
      <c r="K39" s="29"/>
      <c r="L39" s="29"/>
    </row>
    <row r="40" spans="1:12" x14ac:dyDescent="0.25">
      <c r="G40" s="29"/>
      <c r="H40" s="29"/>
      <c r="I40" s="29"/>
      <c r="J40" s="29"/>
      <c r="K40" s="29"/>
      <c r="L40" s="29"/>
    </row>
    <row r="41" spans="1:12" x14ac:dyDescent="0.25">
      <c r="G41" s="29"/>
      <c r="H41" s="29"/>
      <c r="I41" s="29"/>
      <c r="J41" s="29"/>
      <c r="K41" s="29"/>
      <c r="L41" s="29"/>
    </row>
    <row r="42" spans="1:12" x14ac:dyDescent="0.25">
      <c r="G42" s="29"/>
      <c r="H42" s="29"/>
      <c r="I42" s="29"/>
      <c r="J42" s="29"/>
      <c r="K42" s="29"/>
      <c r="L42" s="29"/>
    </row>
    <row r="43" spans="1:12" x14ac:dyDescent="0.25">
      <c r="G43" s="29"/>
      <c r="H43" s="29"/>
      <c r="I43" s="29"/>
      <c r="J43" s="29"/>
      <c r="K43" s="29"/>
      <c r="L43" s="29"/>
    </row>
    <row r="47" spans="1:12" x14ac:dyDescent="0.25">
      <c r="A47" s="26" t="s">
        <v>17</v>
      </c>
      <c r="B47" s="27" t="s">
        <v>542</v>
      </c>
    </row>
    <row r="48" spans="1:12" x14ac:dyDescent="0.25">
      <c r="A48" s="27" t="s">
        <v>91</v>
      </c>
      <c r="B48" s="28">
        <v>0.22550208834718705</v>
      </c>
    </row>
    <row r="49" spans="1:2" x14ac:dyDescent="0.25">
      <c r="A49" s="27" t="s">
        <v>47</v>
      </c>
      <c r="B49" s="28">
        <v>0.2374558200312131</v>
      </c>
    </row>
    <row r="50" spans="1:2" x14ac:dyDescent="0.25">
      <c r="A50" s="27" t="s">
        <v>33</v>
      </c>
      <c r="B50" s="28">
        <v>0.26358940317790636</v>
      </c>
    </row>
    <row r="51" spans="1:2" x14ac:dyDescent="0.25">
      <c r="A51" s="27" t="s">
        <v>41</v>
      </c>
      <c r="B51" s="28">
        <v>0.27345268844369353</v>
      </c>
    </row>
    <row r="52" spans="1:2" x14ac:dyDescent="0.25">
      <c r="A52" s="27" t="s">
        <v>528</v>
      </c>
      <c r="B52" s="28">
        <v>1</v>
      </c>
    </row>
    <row r="62" spans="1:2" x14ac:dyDescent="0.25">
      <c r="A62" s="2" t="s">
        <v>543</v>
      </c>
      <c r="B62" t="s">
        <v>544</v>
      </c>
    </row>
    <row r="63" spans="1:2" x14ac:dyDescent="0.25">
      <c r="A63" s="3" t="s">
        <v>70</v>
      </c>
      <c r="B63" s="4">
        <v>6.635974015881145E-2</v>
      </c>
    </row>
    <row r="64" spans="1:2" x14ac:dyDescent="0.25">
      <c r="A64" s="3" t="s">
        <v>32</v>
      </c>
      <c r="B64" s="4">
        <v>0.85293637016941082</v>
      </c>
    </row>
    <row r="65" spans="1:13" x14ac:dyDescent="0.25">
      <c r="A65" s="3" t="s">
        <v>56</v>
      </c>
      <c r="B65" s="4">
        <v>8.070388967177769E-2</v>
      </c>
    </row>
    <row r="66" spans="1:13" x14ac:dyDescent="0.25">
      <c r="A66" s="3" t="s">
        <v>528</v>
      </c>
      <c r="B66" s="4">
        <v>1</v>
      </c>
    </row>
    <row r="77" spans="1:13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</row>
    <row r="78" spans="1:13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 spans="1:13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 spans="1:13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</row>
    <row r="81" spans="1:13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</row>
    <row r="82" spans="1:13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</row>
    <row r="83" spans="1:13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</row>
    <row r="84" spans="1:13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</row>
    <row r="85" spans="1:13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</row>
    <row r="86" spans="1:13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</row>
    <row r="87" spans="1:13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8" spans="1:13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</row>
    <row r="89" spans="1:13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</row>
    <row r="90" spans="1:13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</row>
    <row r="91" spans="1:13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</row>
    <row r="92" spans="1:13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</row>
    <row r="93" spans="1:13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4" spans="1:13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</row>
  </sheetData>
  <mergeCells count="2">
    <mergeCell ref="G38:L43"/>
    <mergeCell ref="A77:M94"/>
  </mergeCells>
  <pageMargins left="0.7" right="0.7" top="0.75" bottom="0.75" header="0.3" footer="0.3"/>
  <pageSetup paperSize="9" orientation="portrait" r:id="rId3"/>
  <drawing r:id="rId4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F11" sqref="F11"/>
    </sheetView>
  </sheetViews>
  <sheetFormatPr defaultRowHeight="15" x14ac:dyDescent="0.25"/>
  <cols>
    <col min="1" max="1" width="14.140625" bestFit="1" customWidth="1"/>
    <col min="2" max="2" width="16.140625" bestFit="1" customWidth="1"/>
    <col min="3" max="3" width="14" bestFit="1" customWidth="1"/>
    <col min="4" max="4" width="14.140625" bestFit="1" customWidth="1"/>
  </cols>
  <sheetData>
    <row r="1" spans="1:4" x14ac:dyDescent="0.25">
      <c r="A1" s="24" t="s">
        <v>552</v>
      </c>
      <c r="B1" s="24" t="s">
        <v>2</v>
      </c>
      <c r="C1" s="24" t="s">
        <v>17</v>
      </c>
      <c r="D1" s="19" t="s">
        <v>551</v>
      </c>
    </row>
    <row r="2" spans="1:4" x14ac:dyDescent="0.25">
      <c r="A2" s="15" t="str">
        <f>INDEX(Table1[Customer_ID], MATCH(D2, Table1[Outstanding_Amount], 0))</f>
        <v>CUST0005</v>
      </c>
      <c r="B2" s="15" t="str">
        <f>INDEX(Table1[Branch], MATCH(D2, Table1[Outstanding_Amount], 0))</f>
        <v>Mumbai_Central</v>
      </c>
      <c r="C2" s="15" t="str">
        <f>INDEX(Table1[Sector], MATCH(D2, Table1[Outstanding_Amount], 0))</f>
        <v>Services</v>
      </c>
      <c r="D2" s="17">
        <f>LARGE(Table1[Outstanding_Amount],1)</f>
        <v>13622740</v>
      </c>
    </row>
    <row r="3" spans="1:4" x14ac:dyDescent="0.25">
      <c r="A3" s="15" t="str">
        <f>INDEX(Table1[Customer_ID], MATCH(D3, Table1[Outstanding_Amount], 0))</f>
        <v>CUST0182</v>
      </c>
      <c r="B3" s="15" t="str">
        <f>INDEX(Table1[Branch], MATCH(D3, Table1[Outstanding_Amount], 0))</f>
        <v>Kolkata_East</v>
      </c>
      <c r="C3" s="15" t="str">
        <f>INDEX(Table1[Sector], MATCH(D3, Table1[Outstanding_Amount], 0))</f>
        <v>Manufacturing</v>
      </c>
      <c r="D3" s="17">
        <f>LARGE(Table1[Outstanding_Amount],2)</f>
        <v>13458128</v>
      </c>
    </row>
    <row r="4" spans="1:4" x14ac:dyDescent="0.25">
      <c r="A4" s="15" t="str">
        <f>INDEX(Table1[Customer_ID], MATCH(D4, Table1[Outstanding_Amount], 0))</f>
        <v>CUST0051</v>
      </c>
      <c r="B4" s="15" t="str">
        <f>INDEX(Table1[Branch], MATCH(D4, Table1[Outstanding_Amount], 0))</f>
        <v>Mumbai_Central</v>
      </c>
      <c r="C4" s="15" t="str">
        <f>INDEX(Table1[Sector], MATCH(D4, Table1[Outstanding_Amount], 0))</f>
        <v>Services</v>
      </c>
      <c r="D4" s="17">
        <f>LARGE(Table1[Outstanding_Amount],3)</f>
        <v>12775969</v>
      </c>
    </row>
    <row r="5" spans="1:4" x14ac:dyDescent="0.25">
      <c r="A5" s="15" t="str">
        <f>INDEX(Table1[Customer_ID], MATCH(D5, Table1[Outstanding_Amount], 0))</f>
        <v>CUST0175</v>
      </c>
      <c r="B5" s="15" t="str">
        <f>INDEX(Table1[Branch], MATCH(D5, Table1[Outstanding_Amount], 0))</f>
        <v>Kolkata_East</v>
      </c>
      <c r="C5" s="15" t="str">
        <f>INDEX(Table1[Sector], MATCH(D5, Table1[Outstanding_Amount], 0))</f>
        <v>Services</v>
      </c>
      <c r="D5" s="17">
        <f>LARGE(Table1[Outstanding_Amount],4)</f>
        <v>12758386</v>
      </c>
    </row>
    <row r="6" spans="1:4" x14ac:dyDescent="0.25">
      <c r="A6" s="15" t="str">
        <f>INDEX(Table1[Customer_ID], MATCH(D6, Table1[Outstanding_Amount], 0))</f>
        <v>CUST0086</v>
      </c>
      <c r="B6" s="15" t="str">
        <f>INDEX(Table1[Branch], MATCH(D6, Table1[Outstanding_Amount], 0))</f>
        <v>Kolkata_East</v>
      </c>
      <c r="C6" s="15" t="str">
        <f>INDEX(Table1[Sector], MATCH(D6, Table1[Outstanding_Amount], 0))</f>
        <v>Services</v>
      </c>
      <c r="D6" s="17">
        <f>LARGE(Table1[Outstanding_Amount],5)</f>
        <v>12710230</v>
      </c>
    </row>
    <row r="7" spans="1:4" x14ac:dyDescent="0.25">
      <c r="A7" s="15" t="str">
        <f>INDEX(Table1[Customer_ID], MATCH(D7, Table1[Outstanding_Amount], 0))</f>
        <v>CUST0048</v>
      </c>
      <c r="B7" s="15" t="str">
        <f>INDEX(Table1[Branch], MATCH(D7, Table1[Outstanding_Amount], 0))</f>
        <v>Delhi_North</v>
      </c>
      <c r="C7" s="15" t="str">
        <f>INDEX(Table1[Sector], MATCH(D7, Table1[Outstanding_Amount], 0))</f>
        <v>Trading</v>
      </c>
      <c r="D7" s="17">
        <f>LARGE(Table1[Outstanding_Amount],6)</f>
        <v>12656250</v>
      </c>
    </row>
    <row r="8" spans="1:4" x14ac:dyDescent="0.25">
      <c r="A8" s="15" t="str">
        <f>INDEX(Table1[Customer_ID], MATCH(D8, Table1[Outstanding_Amount], 0))</f>
        <v>CUST0192</v>
      </c>
      <c r="B8" s="15" t="str">
        <f>INDEX(Table1[Branch], MATCH(D8, Table1[Outstanding_Amount], 0))</f>
        <v>Bangalore_South</v>
      </c>
      <c r="C8" s="15" t="str">
        <f>INDEX(Table1[Sector], MATCH(D8, Table1[Outstanding_Amount], 0))</f>
        <v>Manufacturing</v>
      </c>
      <c r="D8" s="17">
        <f>LARGE(Table1[Outstanding_Amount],7)</f>
        <v>12511334</v>
      </c>
    </row>
    <row r="9" spans="1:4" x14ac:dyDescent="0.25">
      <c r="A9" s="15" t="str">
        <f>INDEX(Table1[Customer_ID], MATCH(D9, Table1[Outstanding_Amount], 0))</f>
        <v>CUST0138</v>
      </c>
      <c r="B9" s="15" t="str">
        <f>INDEX(Table1[Branch], MATCH(D9, Table1[Outstanding_Amount], 0))</f>
        <v>Kolkata_East</v>
      </c>
      <c r="C9" s="15" t="str">
        <f>INDEX(Table1[Sector], MATCH(D9, Table1[Outstanding_Amount], 0))</f>
        <v>Manufacturing</v>
      </c>
      <c r="D9" s="17">
        <f>LARGE(Table1[Outstanding_Amount],8)</f>
        <v>12331650</v>
      </c>
    </row>
    <row r="10" spans="1:4" x14ac:dyDescent="0.25">
      <c r="A10" s="15" t="str">
        <f>INDEX(Table1[Customer_ID], MATCH(D10, Table1[Outstanding_Amount], 0))</f>
        <v>CUST0130</v>
      </c>
      <c r="B10" s="15" t="str">
        <f>INDEX(Table1[Branch], MATCH(D10, Table1[Outstanding_Amount], 0))</f>
        <v>Bangalore_South</v>
      </c>
      <c r="C10" s="15" t="str">
        <f>INDEX(Table1[Sector], MATCH(D10, Table1[Outstanding_Amount], 0))</f>
        <v>Services</v>
      </c>
      <c r="D10" s="17">
        <f>LARGE(Table1[Outstanding_Amount],9)</f>
        <v>12283540</v>
      </c>
    </row>
    <row r="11" spans="1:4" x14ac:dyDescent="0.25">
      <c r="A11" s="25" t="str">
        <f>INDEX(Table1[Customer_ID], MATCH(D11, Table1[Outstanding_Amount], 0))</f>
        <v>CUST0150</v>
      </c>
      <c r="B11" s="25" t="str">
        <f>INDEX(Table1[Branch], MATCH(D11, Table1[Outstanding_Amount], 0))</f>
        <v>Mumbai_Central</v>
      </c>
      <c r="C11" s="25" t="str">
        <f>INDEX(Table1[Sector], MATCH(D11, Table1[Outstanding_Amount], 0))</f>
        <v>Services</v>
      </c>
      <c r="D11" s="21">
        <f>LARGE(Table1[Outstanding_Amount],10)</f>
        <v>12267228</v>
      </c>
    </row>
    <row r="15" spans="1:4" x14ac:dyDescent="0.25">
      <c r="A15" s="36" t="s">
        <v>552</v>
      </c>
      <c r="B15" s="36" t="s">
        <v>2</v>
      </c>
      <c r="C15" s="36" t="s">
        <v>17</v>
      </c>
      <c r="D15" s="36" t="s">
        <v>551</v>
      </c>
    </row>
    <row r="16" spans="1:4" x14ac:dyDescent="0.25">
      <c r="A16" t="str">
        <f>A2</f>
        <v>CUST0005</v>
      </c>
      <c r="B16" t="str">
        <f>B2</f>
        <v>Mumbai_Central</v>
      </c>
      <c r="C16" t="str">
        <f>C2</f>
        <v>Services</v>
      </c>
      <c r="D16">
        <f>D2</f>
        <v>13622740</v>
      </c>
    </row>
    <row r="17" spans="1:4" x14ac:dyDescent="0.25">
      <c r="A17" t="str">
        <f t="shared" ref="A17:D17" si="0">A3</f>
        <v>CUST0182</v>
      </c>
      <c r="B17" t="str">
        <f t="shared" si="0"/>
        <v>Kolkata_East</v>
      </c>
      <c r="C17" t="str">
        <f t="shared" si="0"/>
        <v>Manufacturing</v>
      </c>
      <c r="D17">
        <f t="shared" si="0"/>
        <v>13458128</v>
      </c>
    </row>
    <row r="18" spans="1:4" x14ac:dyDescent="0.25">
      <c r="A18" t="str">
        <f t="shared" ref="A18:D18" si="1">A4</f>
        <v>CUST0051</v>
      </c>
      <c r="B18" t="str">
        <f t="shared" si="1"/>
        <v>Mumbai_Central</v>
      </c>
      <c r="C18" t="str">
        <f t="shared" si="1"/>
        <v>Services</v>
      </c>
      <c r="D18">
        <f t="shared" si="1"/>
        <v>12775969</v>
      </c>
    </row>
    <row r="19" spans="1:4" x14ac:dyDescent="0.25">
      <c r="A19" t="str">
        <f t="shared" ref="A19:D19" si="2">A5</f>
        <v>CUST0175</v>
      </c>
      <c r="B19" t="str">
        <f t="shared" si="2"/>
        <v>Kolkata_East</v>
      </c>
      <c r="C19" t="str">
        <f t="shared" si="2"/>
        <v>Services</v>
      </c>
      <c r="D19">
        <f t="shared" si="2"/>
        <v>12758386</v>
      </c>
    </row>
    <row r="20" spans="1:4" x14ac:dyDescent="0.25">
      <c r="A20" t="str">
        <f t="shared" ref="A20:D20" si="3">A6</f>
        <v>CUST0086</v>
      </c>
      <c r="B20" t="str">
        <f t="shared" si="3"/>
        <v>Kolkata_East</v>
      </c>
      <c r="C20" t="str">
        <f t="shared" si="3"/>
        <v>Services</v>
      </c>
      <c r="D20">
        <f t="shared" si="3"/>
        <v>12710230</v>
      </c>
    </row>
    <row r="21" spans="1:4" x14ac:dyDescent="0.25">
      <c r="A21" t="str">
        <f t="shared" ref="A21:D21" si="4">A7</f>
        <v>CUST0048</v>
      </c>
      <c r="B21" t="str">
        <f t="shared" si="4"/>
        <v>Delhi_North</v>
      </c>
      <c r="C21" t="str">
        <f t="shared" si="4"/>
        <v>Trading</v>
      </c>
      <c r="D21">
        <f t="shared" si="4"/>
        <v>12656250</v>
      </c>
    </row>
    <row r="22" spans="1:4" x14ac:dyDescent="0.25">
      <c r="A22" t="str">
        <f t="shared" ref="A22:D22" si="5">A8</f>
        <v>CUST0192</v>
      </c>
      <c r="B22" t="str">
        <f t="shared" si="5"/>
        <v>Bangalore_South</v>
      </c>
      <c r="C22" t="str">
        <f t="shared" si="5"/>
        <v>Manufacturing</v>
      </c>
      <c r="D22">
        <f t="shared" si="5"/>
        <v>12511334</v>
      </c>
    </row>
    <row r="23" spans="1:4" x14ac:dyDescent="0.25">
      <c r="A23" t="str">
        <f t="shared" ref="A23:D23" si="6">A9</f>
        <v>CUST0138</v>
      </c>
      <c r="B23" t="str">
        <f t="shared" si="6"/>
        <v>Kolkata_East</v>
      </c>
      <c r="C23" t="str">
        <f t="shared" si="6"/>
        <v>Manufacturing</v>
      </c>
      <c r="D23">
        <f t="shared" si="6"/>
        <v>12331650</v>
      </c>
    </row>
    <row r="24" spans="1:4" x14ac:dyDescent="0.25">
      <c r="A24" t="str">
        <f t="shared" ref="A24:D24" si="7">A10</f>
        <v>CUST0130</v>
      </c>
      <c r="B24" t="str">
        <f t="shared" si="7"/>
        <v>Bangalore_South</v>
      </c>
      <c r="C24" t="str">
        <f t="shared" si="7"/>
        <v>Services</v>
      </c>
      <c r="D24">
        <f t="shared" si="7"/>
        <v>12283540</v>
      </c>
    </row>
    <row r="25" spans="1:4" x14ac:dyDescent="0.25">
      <c r="A25" t="str">
        <f t="shared" ref="A25:D25" si="8">A11</f>
        <v>CUST0150</v>
      </c>
      <c r="B25" t="str">
        <f t="shared" si="8"/>
        <v>Mumbai_Central</v>
      </c>
      <c r="C25" t="str">
        <f t="shared" si="8"/>
        <v>Services</v>
      </c>
      <c r="D25">
        <f t="shared" si="8"/>
        <v>12267228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SME_Portfolio</vt:lpstr>
      <vt:lpstr>KPI</vt:lpstr>
      <vt:lpstr>Sheet2</vt:lpstr>
      <vt:lpstr>Dashboard Github</vt:lpstr>
      <vt:lpstr>Dashboard 1</vt:lpstr>
      <vt:lpstr>Top Exposure Helper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Singhal</dc:creator>
  <cp:lastModifiedBy>NEHA SINGHAL</cp:lastModifiedBy>
  <dcterms:modified xsi:type="dcterms:W3CDTF">2026-03-07T10:14:51Z</dcterms:modified>
</cp:coreProperties>
</file>